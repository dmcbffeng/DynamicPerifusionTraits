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Volumes/drt/Islet Core/1-PowersBrissova Lab/Jay/HIPP Reports/Duke NC T1D vs ND 299/"/>
    </mc:Choice>
  </mc:AlternateContent>
  <xr:revisionPtr revIDLastSave="62" documentId="13_ncr:1_{1AF80D2E-7EE6-EC45-BD9F-FCBCE3344965}" xr6:coauthVersionLast="47" xr6:coauthVersionMax="47" xr10:uidLastSave="{A7DB5C35-153C-4016-9A20-B2E7CA3CD404}"/>
  <bookViews>
    <workbookView xWindow="960" yWindow="1120" windowWidth="36100" windowHeight="21100" firstSheet="2" activeTab="1" xr2:uid="{3B7B36F5-9BBB-0B45-8417-EA059E4E05A9}"/>
  </bookViews>
  <sheets>
    <sheet name="Graphs" sheetId="10" r:id="rId1"/>
    <sheet name="Sample Overview" sheetId="17" r:id="rId2"/>
    <sheet name="T1D INS IEQs_min" sheetId="1" r:id="rId3"/>
    <sheet name="T1D INS Content_min" sheetId="2" r:id="rId4"/>
    <sheet name="T1D GCG IEQs_min" sheetId="3" r:id="rId5"/>
    <sheet name="T1D GCG Content_min" sheetId="4" r:id="rId6"/>
    <sheet name="ND Ctrls INS IEQ" sheetId="11" r:id="rId7"/>
    <sheet name="ND Ctrls INS Cont." sheetId="12" r:id="rId8"/>
    <sheet name="ND Ctrls GCG IEQ" sheetId="13" r:id="rId9"/>
    <sheet name="ND Ctrls GCG Cont." sheetId="14" r:id="rId10"/>
    <sheet name="ND Ctrls Hormone Cont.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7" i="14" l="1"/>
  <c r="AH56" i="14"/>
  <c r="AG56" i="14"/>
  <c r="AF56" i="14"/>
  <c r="AE56" i="14"/>
  <c r="AE57" i="14" s="1"/>
  <c r="AD56" i="14"/>
  <c r="AC56" i="14"/>
  <c r="AB56" i="14"/>
  <c r="AA56" i="14"/>
  <c r="AA57" i="14" s="1"/>
  <c r="Z56" i="14"/>
  <c r="Y56" i="14"/>
  <c r="X56" i="14"/>
  <c r="W56" i="14"/>
  <c r="W57" i="14" s="1"/>
  <c r="V56" i="14"/>
  <c r="U56" i="14"/>
  <c r="S56" i="14"/>
  <c r="S57" i="14" s="1"/>
  <c r="R56" i="14"/>
  <c r="Q56" i="14"/>
  <c r="P56" i="14"/>
  <c r="O56" i="14"/>
  <c r="O57" i="14" s="1"/>
  <c r="N56" i="14"/>
  <c r="M56" i="14"/>
  <c r="L56" i="14"/>
  <c r="K56" i="14"/>
  <c r="K57" i="14" s="1"/>
  <c r="J56" i="14"/>
  <c r="I56" i="14"/>
  <c r="I57" i="14" s="1"/>
  <c r="H56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AI55" i="13"/>
  <c r="AH55" i="13"/>
  <c r="AG55" i="13"/>
  <c r="AF55" i="13"/>
  <c r="AF57" i="13" s="1"/>
  <c r="AE55" i="13"/>
  <c r="AD55" i="13"/>
  <c r="AC55" i="13"/>
  <c r="AB55" i="13"/>
  <c r="AB57" i="13" s="1"/>
  <c r="AA55" i="13"/>
  <c r="Z55" i="13"/>
  <c r="Y55" i="13"/>
  <c r="X55" i="13"/>
  <c r="X57" i="13" s="1"/>
  <c r="W55" i="13"/>
  <c r="V55" i="13"/>
  <c r="S55" i="13"/>
  <c r="R55" i="13"/>
  <c r="R57" i="13" s="1"/>
  <c r="Q55" i="13"/>
  <c r="P55" i="13"/>
  <c r="O55" i="13"/>
  <c r="N55" i="13"/>
  <c r="N57" i="13" s="1"/>
  <c r="M55" i="13"/>
  <c r="L55" i="13"/>
  <c r="K55" i="13"/>
  <c r="J55" i="13"/>
  <c r="J57" i="13" s="1"/>
  <c r="I55" i="13"/>
  <c r="H55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AH56" i="12"/>
  <c r="AG56" i="12"/>
  <c r="AG57" i="12" s="1"/>
  <c r="AF56" i="12"/>
  <c r="AE56" i="12"/>
  <c r="AD56" i="12"/>
  <c r="AC56" i="12"/>
  <c r="AC57" i="12" s="1"/>
  <c r="AB56" i="12"/>
  <c r="AA56" i="12"/>
  <c r="Z56" i="12"/>
  <c r="Y56" i="12"/>
  <c r="Y57" i="12" s="1"/>
  <c r="X56" i="12"/>
  <c r="W56" i="12"/>
  <c r="V56" i="12"/>
  <c r="U56" i="12"/>
  <c r="U57" i="12" s="1"/>
  <c r="S56" i="12"/>
  <c r="R56" i="12"/>
  <c r="Q56" i="12"/>
  <c r="Q57" i="12" s="1"/>
  <c r="P56" i="12"/>
  <c r="O56" i="12"/>
  <c r="N56" i="12"/>
  <c r="M56" i="12"/>
  <c r="M57" i="12" s="1"/>
  <c r="L56" i="12"/>
  <c r="K56" i="12"/>
  <c r="J56" i="12"/>
  <c r="I56" i="12"/>
  <c r="I57" i="12" s="1"/>
  <c r="H56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AH60" i="11"/>
  <c r="AG60" i="11"/>
  <c r="AD60" i="11"/>
  <c r="AC60" i="11"/>
  <c r="AB60" i="11"/>
  <c r="AA60" i="11"/>
  <c r="Z60" i="11"/>
  <c r="Y60" i="11"/>
  <c r="X60" i="11"/>
  <c r="W60" i="11"/>
  <c r="V60" i="11"/>
  <c r="U60" i="11"/>
  <c r="AH56" i="11"/>
  <c r="AG56" i="11"/>
  <c r="AF56" i="11"/>
  <c r="AE56" i="11"/>
  <c r="AD56" i="11"/>
  <c r="AC56" i="11"/>
  <c r="AB56" i="11"/>
  <c r="AB57" i="11" s="1"/>
  <c r="AA56" i="11"/>
  <c r="AA57" i="11" s="1"/>
  <c r="Z56" i="11"/>
  <c r="Y56" i="11"/>
  <c r="X56" i="11"/>
  <c r="X57" i="11" s="1"/>
  <c r="W56" i="11"/>
  <c r="W57" i="11" s="1"/>
  <c r="V56" i="11"/>
  <c r="U56" i="11"/>
  <c r="S56" i="11"/>
  <c r="S57" i="11" s="1"/>
  <c r="R56" i="11"/>
  <c r="R57" i="11" s="1"/>
  <c r="Q56" i="11"/>
  <c r="P56" i="11"/>
  <c r="O56" i="11"/>
  <c r="N56" i="11"/>
  <c r="M56" i="11"/>
  <c r="L56" i="11"/>
  <c r="K56" i="11"/>
  <c r="J56" i="11"/>
  <c r="I56" i="11"/>
  <c r="H56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M57" i="14" l="1"/>
  <c r="Q57" i="14"/>
  <c r="V57" i="14"/>
  <c r="Z57" i="14"/>
  <c r="AH57" i="14"/>
  <c r="J57" i="14"/>
  <c r="N57" i="14"/>
  <c r="R57" i="14"/>
  <c r="X57" i="14"/>
  <c r="AB57" i="14"/>
  <c r="AF57" i="14"/>
  <c r="H57" i="14"/>
  <c r="L57" i="14"/>
  <c r="P57" i="14"/>
  <c r="U57" i="14"/>
  <c r="Y57" i="14"/>
  <c r="AC57" i="14"/>
  <c r="AG57" i="14"/>
  <c r="I57" i="13"/>
  <c r="M57" i="13"/>
  <c r="Q57" i="13"/>
  <c r="W57" i="13"/>
  <c r="AA57" i="13"/>
  <c r="AE57" i="13"/>
  <c r="AI57" i="13"/>
  <c r="K57" i="13"/>
  <c r="O57" i="13"/>
  <c r="S57" i="13"/>
  <c r="Y57" i="13"/>
  <c r="AC57" i="13"/>
  <c r="AG57" i="13"/>
  <c r="H57" i="13"/>
  <c r="L57" i="13"/>
  <c r="P57" i="13"/>
  <c r="V57" i="13"/>
  <c r="Z57" i="13"/>
  <c r="AD57" i="13"/>
  <c r="AH57" i="13"/>
  <c r="J57" i="12"/>
  <c r="N57" i="12"/>
  <c r="R57" i="12"/>
  <c r="W57" i="12"/>
  <c r="AA57" i="12"/>
  <c r="AE57" i="12"/>
  <c r="K57" i="12"/>
  <c r="O57" i="12"/>
  <c r="S57" i="12"/>
  <c r="X57" i="12"/>
  <c r="AB57" i="12"/>
  <c r="AF57" i="12"/>
  <c r="H57" i="12"/>
  <c r="L57" i="12"/>
  <c r="P57" i="12"/>
  <c r="V57" i="12"/>
  <c r="Z57" i="12"/>
  <c r="AD57" i="12"/>
  <c r="AH57" i="12"/>
  <c r="AE57" i="11"/>
  <c r="AF57" i="11"/>
  <c r="AC57" i="11"/>
  <c r="AG57" i="11"/>
  <c r="U57" i="11"/>
  <c r="Y57" i="11"/>
  <c r="I57" i="11"/>
  <c r="Q57" i="11"/>
  <c r="V57" i="11"/>
  <c r="Z57" i="11"/>
  <c r="AD57" i="11"/>
  <c r="AH57" i="11"/>
  <c r="K57" i="11"/>
  <c r="H57" i="11"/>
  <c r="L57" i="11"/>
  <c r="P57" i="11"/>
  <c r="M57" i="11"/>
  <c r="J57" i="11"/>
  <c r="N57" i="11"/>
  <c r="O57" i="11"/>
  <c r="AA4" i="4"/>
  <c r="AB4" i="4"/>
  <c r="AC4" i="4"/>
  <c r="AA5" i="4"/>
  <c r="AB5" i="4"/>
  <c r="AC5" i="4"/>
  <c r="AA6" i="4"/>
  <c r="AB6" i="4"/>
  <c r="AC6" i="4"/>
  <c r="AA7" i="4"/>
  <c r="AB7" i="4"/>
  <c r="AC7" i="4"/>
  <c r="AA8" i="4"/>
  <c r="AB8" i="4"/>
  <c r="AC8" i="4"/>
  <c r="AA9" i="4"/>
  <c r="AB9" i="4"/>
  <c r="AC9" i="4"/>
  <c r="AA10" i="4"/>
  <c r="AB10" i="4"/>
  <c r="AC10" i="4"/>
  <c r="AA11" i="4"/>
  <c r="AB11" i="4"/>
  <c r="AC11" i="4"/>
  <c r="AA12" i="4"/>
  <c r="AB12" i="4"/>
  <c r="AC12" i="4"/>
  <c r="AA13" i="4"/>
  <c r="AB13" i="4"/>
  <c r="AC13" i="4"/>
  <c r="AA14" i="4"/>
  <c r="AB14" i="4"/>
  <c r="AC14" i="4"/>
  <c r="AA15" i="4"/>
  <c r="AB15" i="4"/>
  <c r="AC15" i="4"/>
  <c r="AA16" i="4"/>
  <c r="AB16" i="4"/>
  <c r="AC16" i="4"/>
  <c r="AA17" i="4"/>
  <c r="AB17" i="4"/>
  <c r="AC17" i="4"/>
  <c r="AA18" i="4"/>
  <c r="AB18" i="4"/>
  <c r="AC18" i="4"/>
  <c r="AA19" i="4"/>
  <c r="AB19" i="4"/>
  <c r="AC19" i="4"/>
  <c r="AA20" i="4"/>
  <c r="AB20" i="4"/>
  <c r="AC20" i="4"/>
  <c r="AA21" i="4"/>
  <c r="AB21" i="4"/>
  <c r="AC21" i="4"/>
  <c r="AA22" i="4"/>
  <c r="AB22" i="4"/>
  <c r="AC22" i="4"/>
  <c r="AA23" i="4"/>
  <c r="AB23" i="4"/>
  <c r="AC23" i="4"/>
  <c r="AA24" i="4"/>
  <c r="AB24" i="4"/>
  <c r="AC24" i="4"/>
  <c r="AA25" i="4"/>
  <c r="AB25" i="4"/>
  <c r="AC25" i="4"/>
  <c r="AA26" i="4"/>
  <c r="AB26" i="4"/>
  <c r="AC26" i="4"/>
  <c r="AA27" i="4"/>
  <c r="AB27" i="4"/>
  <c r="AC27" i="4"/>
  <c r="AA28" i="4"/>
  <c r="AB28" i="4"/>
  <c r="AC28" i="4"/>
  <c r="AA29" i="4"/>
  <c r="AB29" i="4"/>
  <c r="AC29" i="4"/>
  <c r="AA30" i="4"/>
  <c r="AB30" i="4"/>
  <c r="AC30" i="4"/>
  <c r="AA31" i="4"/>
  <c r="AB31" i="4"/>
  <c r="AC31" i="4"/>
  <c r="AA32" i="4"/>
  <c r="AB32" i="4"/>
  <c r="AC32" i="4"/>
  <c r="AA33" i="4"/>
  <c r="AB33" i="4"/>
  <c r="AC33" i="4"/>
  <c r="AA34" i="4"/>
  <c r="AB34" i="4"/>
  <c r="AC34" i="4"/>
  <c r="AA35" i="4"/>
  <c r="AB35" i="4"/>
  <c r="AC35" i="4"/>
  <c r="AA36" i="4"/>
  <c r="AB36" i="4"/>
  <c r="AC36" i="4"/>
  <c r="AA37" i="4"/>
  <c r="AB37" i="4"/>
  <c r="AC37" i="4"/>
  <c r="AA38" i="4"/>
  <c r="AB38" i="4"/>
  <c r="AC38" i="4"/>
  <c r="AA39" i="4"/>
  <c r="AB39" i="4"/>
  <c r="AC39" i="4"/>
  <c r="AA40" i="4"/>
  <c r="AB40" i="4"/>
  <c r="AC40" i="4"/>
  <c r="AA41" i="4"/>
  <c r="AB41" i="4"/>
  <c r="AC41" i="4"/>
  <c r="AA42" i="4"/>
  <c r="AB42" i="4"/>
  <c r="AC42" i="4"/>
  <c r="AA43" i="4"/>
  <c r="AB43" i="4"/>
  <c r="AC43" i="4"/>
  <c r="AA44" i="4"/>
  <c r="AB44" i="4"/>
  <c r="AC44" i="4"/>
  <c r="AA45" i="4"/>
  <c r="AB45" i="4"/>
  <c r="AC45" i="4"/>
  <c r="AA46" i="4"/>
  <c r="AB46" i="4"/>
  <c r="AC46" i="4"/>
  <c r="AA47" i="4"/>
  <c r="AB47" i="4"/>
  <c r="AC47" i="4"/>
  <c r="AA48" i="4"/>
  <c r="AB48" i="4"/>
  <c r="AC48" i="4"/>
  <c r="AA49" i="4"/>
  <c r="AB49" i="4"/>
  <c r="AC49" i="4"/>
  <c r="AA50" i="4"/>
  <c r="AB50" i="4"/>
  <c r="AC50" i="4"/>
  <c r="AA51" i="4"/>
  <c r="AB51" i="4"/>
  <c r="AC51" i="4"/>
  <c r="AA52" i="4"/>
  <c r="AB52" i="4"/>
  <c r="AC52" i="4"/>
  <c r="AC3" i="4"/>
  <c r="AB3" i="4"/>
  <c r="AA3" i="4"/>
  <c r="AA4" i="3"/>
  <c r="AB4" i="3"/>
  <c r="AC4" i="3"/>
  <c r="AA5" i="3"/>
  <c r="AB5" i="3"/>
  <c r="AC5" i="3"/>
  <c r="AA6" i="3"/>
  <c r="AB6" i="3"/>
  <c r="AC6" i="3"/>
  <c r="AA7" i="3"/>
  <c r="AB7" i="3"/>
  <c r="AC7" i="3"/>
  <c r="AA8" i="3"/>
  <c r="AB8" i="3"/>
  <c r="AC8" i="3"/>
  <c r="AA9" i="3"/>
  <c r="AB9" i="3"/>
  <c r="AC9" i="3"/>
  <c r="AA10" i="3"/>
  <c r="AB10" i="3"/>
  <c r="AC10" i="3"/>
  <c r="AA11" i="3"/>
  <c r="AB11" i="3"/>
  <c r="AC11" i="3"/>
  <c r="AA12" i="3"/>
  <c r="AB12" i="3"/>
  <c r="AC12" i="3"/>
  <c r="AA13" i="3"/>
  <c r="AB13" i="3"/>
  <c r="AC13" i="3"/>
  <c r="AA14" i="3"/>
  <c r="AB14" i="3"/>
  <c r="AC14" i="3"/>
  <c r="AA15" i="3"/>
  <c r="AB15" i="3"/>
  <c r="AC15" i="3"/>
  <c r="AA16" i="3"/>
  <c r="AB16" i="3"/>
  <c r="AC16" i="3"/>
  <c r="AA17" i="3"/>
  <c r="AB17" i="3"/>
  <c r="AC17" i="3"/>
  <c r="AA18" i="3"/>
  <c r="AB18" i="3"/>
  <c r="AC18" i="3"/>
  <c r="AA19" i="3"/>
  <c r="AB19" i="3"/>
  <c r="AC19" i="3"/>
  <c r="AA20" i="3"/>
  <c r="AB20" i="3"/>
  <c r="AC20" i="3"/>
  <c r="AA21" i="3"/>
  <c r="AB21" i="3"/>
  <c r="AC21" i="3"/>
  <c r="AA22" i="3"/>
  <c r="AB22" i="3"/>
  <c r="AC22" i="3"/>
  <c r="AA23" i="3"/>
  <c r="AB23" i="3"/>
  <c r="AC23" i="3"/>
  <c r="AA24" i="3"/>
  <c r="AB24" i="3"/>
  <c r="AC24" i="3"/>
  <c r="AA25" i="3"/>
  <c r="AB25" i="3"/>
  <c r="AC25" i="3"/>
  <c r="AA26" i="3"/>
  <c r="AB26" i="3"/>
  <c r="AC26" i="3"/>
  <c r="AA27" i="3"/>
  <c r="AB27" i="3"/>
  <c r="AC27" i="3"/>
  <c r="AA28" i="3"/>
  <c r="AB28" i="3"/>
  <c r="AC28" i="3"/>
  <c r="AA29" i="3"/>
  <c r="AB29" i="3"/>
  <c r="AC29" i="3"/>
  <c r="AA30" i="3"/>
  <c r="AB30" i="3"/>
  <c r="AC30" i="3"/>
  <c r="AA31" i="3"/>
  <c r="AB31" i="3"/>
  <c r="AC31" i="3"/>
  <c r="AA32" i="3"/>
  <c r="AB32" i="3"/>
  <c r="AC32" i="3"/>
  <c r="AA33" i="3"/>
  <c r="AB33" i="3"/>
  <c r="AC33" i="3"/>
  <c r="AA34" i="3"/>
  <c r="AB34" i="3"/>
  <c r="AC34" i="3"/>
  <c r="AA35" i="3"/>
  <c r="AB35" i="3"/>
  <c r="AC35" i="3"/>
  <c r="AA36" i="3"/>
  <c r="AB36" i="3"/>
  <c r="AC36" i="3"/>
  <c r="AA37" i="3"/>
  <c r="AB37" i="3"/>
  <c r="AC37" i="3"/>
  <c r="AA38" i="3"/>
  <c r="AB38" i="3"/>
  <c r="AC38" i="3"/>
  <c r="AA39" i="3"/>
  <c r="AB39" i="3"/>
  <c r="AC39" i="3"/>
  <c r="AA40" i="3"/>
  <c r="AB40" i="3"/>
  <c r="AC40" i="3"/>
  <c r="AA41" i="3"/>
  <c r="AB41" i="3"/>
  <c r="AC41" i="3"/>
  <c r="AA42" i="3"/>
  <c r="AB42" i="3"/>
  <c r="AC42" i="3"/>
  <c r="AA43" i="3"/>
  <c r="AB43" i="3"/>
  <c r="AC43" i="3"/>
  <c r="AA44" i="3"/>
  <c r="AB44" i="3"/>
  <c r="AC44" i="3"/>
  <c r="AA45" i="3"/>
  <c r="AB45" i="3"/>
  <c r="AC45" i="3"/>
  <c r="AA46" i="3"/>
  <c r="AB46" i="3"/>
  <c r="AC46" i="3"/>
  <c r="AA47" i="3"/>
  <c r="AB47" i="3"/>
  <c r="AC47" i="3"/>
  <c r="AA48" i="3"/>
  <c r="AB48" i="3"/>
  <c r="AC48" i="3"/>
  <c r="AA49" i="3"/>
  <c r="AB49" i="3"/>
  <c r="AC49" i="3"/>
  <c r="AA50" i="3"/>
  <c r="AB50" i="3"/>
  <c r="AC50" i="3"/>
  <c r="AA51" i="3"/>
  <c r="AB51" i="3"/>
  <c r="AC51" i="3"/>
  <c r="AA52" i="3"/>
  <c r="AB52" i="3"/>
  <c r="AC52" i="3"/>
  <c r="AC3" i="3"/>
  <c r="AB3" i="3"/>
  <c r="AA3" i="3"/>
  <c r="W4" i="4"/>
  <c r="X4" i="4"/>
  <c r="Y4" i="4"/>
  <c r="W5" i="4"/>
  <c r="X5" i="4"/>
  <c r="Y5" i="4"/>
  <c r="W6" i="4"/>
  <c r="X6" i="4"/>
  <c r="Y6" i="4"/>
  <c r="W7" i="4"/>
  <c r="X7" i="4"/>
  <c r="Y7" i="4"/>
  <c r="W8" i="4"/>
  <c r="X8" i="4"/>
  <c r="Y8" i="4"/>
  <c r="W9" i="4"/>
  <c r="X9" i="4"/>
  <c r="Y9" i="4"/>
  <c r="W10" i="4"/>
  <c r="X10" i="4"/>
  <c r="Y10" i="4"/>
  <c r="W11" i="4"/>
  <c r="X11" i="4"/>
  <c r="Y11" i="4"/>
  <c r="W12" i="4"/>
  <c r="X12" i="4"/>
  <c r="Y12" i="4"/>
  <c r="W13" i="4"/>
  <c r="X13" i="4"/>
  <c r="Y13" i="4"/>
  <c r="W14" i="4"/>
  <c r="X14" i="4"/>
  <c r="Y14" i="4"/>
  <c r="W15" i="4"/>
  <c r="X15" i="4"/>
  <c r="Y15" i="4"/>
  <c r="W16" i="4"/>
  <c r="X16" i="4"/>
  <c r="Y16" i="4"/>
  <c r="W17" i="4"/>
  <c r="X17" i="4"/>
  <c r="Y17" i="4"/>
  <c r="W18" i="4"/>
  <c r="X18" i="4"/>
  <c r="Y18" i="4"/>
  <c r="W19" i="4"/>
  <c r="X19" i="4"/>
  <c r="Y19" i="4"/>
  <c r="W20" i="4"/>
  <c r="X20" i="4"/>
  <c r="Y20" i="4"/>
  <c r="W21" i="4"/>
  <c r="X21" i="4"/>
  <c r="Y21" i="4"/>
  <c r="W22" i="4"/>
  <c r="X22" i="4"/>
  <c r="Y22" i="4"/>
  <c r="W23" i="4"/>
  <c r="X23" i="4"/>
  <c r="Y23" i="4"/>
  <c r="W24" i="4"/>
  <c r="X24" i="4"/>
  <c r="Y24" i="4"/>
  <c r="W25" i="4"/>
  <c r="X25" i="4"/>
  <c r="Y25" i="4"/>
  <c r="W26" i="4"/>
  <c r="X26" i="4"/>
  <c r="Y26" i="4"/>
  <c r="W27" i="4"/>
  <c r="X27" i="4"/>
  <c r="Y27" i="4"/>
  <c r="W28" i="4"/>
  <c r="X28" i="4"/>
  <c r="Y28" i="4"/>
  <c r="W29" i="4"/>
  <c r="X29" i="4"/>
  <c r="Y29" i="4"/>
  <c r="W30" i="4"/>
  <c r="X30" i="4"/>
  <c r="Y30" i="4"/>
  <c r="W31" i="4"/>
  <c r="X31" i="4"/>
  <c r="Y31" i="4"/>
  <c r="W32" i="4"/>
  <c r="X32" i="4"/>
  <c r="Y32" i="4"/>
  <c r="W33" i="4"/>
  <c r="X33" i="4"/>
  <c r="Y33" i="4"/>
  <c r="W34" i="4"/>
  <c r="X34" i="4"/>
  <c r="Y34" i="4"/>
  <c r="W35" i="4"/>
  <c r="X35" i="4"/>
  <c r="Y35" i="4"/>
  <c r="W36" i="4"/>
  <c r="X36" i="4"/>
  <c r="Y36" i="4"/>
  <c r="W37" i="4"/>
  <c r="X37" i="4"/>
  <c r="Y37" i="4"/>
  <c r="W38" i="4"/>
  <c r="X38" i="4"/>
  <c r="Y38" i="4"/>
  <c r="W39" i="4"/>
  <c r="X39" i="4"/>
  <c r="Y39" i="4"/>
  <c r="W40" i="4"/>
  <c r="X40" i="4"/>
  <c r="Y40" i="4"/>
  <c r="W41" i="4"/>
  <c r="X41" i="4"/>
  <c r="Y41" i="4"/>
  <c r="W42" i="4"/>
  <c r="X42" i="4"/>
  <c r="Y42" i="4"/>
  <c r="W43" i="4"/>
  <c r="X43" i="4"/>
  <c r="Y43" i="4"/>
  <c r="W44" i="4"/>
  <c r="X44" i="4"/>
  <c r="Y44" i="4"/>
  <c r="W45" i="4"/>
  <c r="X45" i="4"/>
  <c r="Y45" i="4"/>
  <c r="W46" i="4"/>
  <c r="X46" i="4"/>
  <c r="Y46" i="4"/>
  <c r="W47" i="4"/>
  <c r="X47" i="4"/>
  <c r="Y47" i="4"/>
  <c r="W48" i="4"/>
  <c r="X48" i="4"/>
  <c r="Y48" i="4"/>
  <c r="W49" i="4"/>
  <c r="X49" i="4"/>
  <c r="Y49" i="4"/>
  <c r="W50" i="4"/>
  <c r="X50" i="4"/>
  <c r="Y50" i="4"/>
  <c r="W51" i="4"/>
  <c r="X51" i="4"/>
  <c r="Y51" i="4"/>
  <c r="W52" i="4"/>
  <c r="X52" i="4"/>
  <c r="Y52" i="4"/>
  <c r="Y3" i="4"/>
  <c r="X3" i="4"/>
  <c r="W3" i="4"/>
  <c r="W4" i="3"/>
  <c r="X4" i="3"/>
  <c r="Y4" i="3"/>
  <c r="W5" i="3"/>
  <c r="X5" i="3"/>
  <c r="Y5" i="3"/>
  <c r="W6" i="3"/>
  <c r="X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X14" i="3"/>
  <c r="Y14" i="3"/>
  <c r="W15" i="3"/>
  <c r="X15" i="3"/>
  <c r="Y15" i="3"/>
  <c r="W16" i="3"/>
  <c r="X16" i="3"/>
  <c r="Y16" i="3"/>
  <c r="W17" i="3"/>
  <c r="X17" i="3"/>
  <c r="Y17" i="3"/>
  <c r="W18" i="3"/>
  <c r="X18" i="3"/>
  <c r="Y18" i="3"/>
  <c r="W19" i="3"/>
  <c r="X19" i="3"/>
  <c r="Y19" i="3"/>
  <c r="W20" i="3"/>
  <c r="X20" i="3"/>
  <c r="Y20" i="3"/>
  <c r="W21" i="3"/>
  <c r="X21" i="3"/>
  <c r="Y21" i="3"/>
  <c r="W22" i="3"/>
  <c r="X22" i="3"/>
  <c r="Y22" i="3"/>
  <c r="W23" i="3"/>
  <c r="X23" i="3"/>
  <c r="Y23" i="3"/>
  <c r="W24" i="3"/>
  <c r="X24" i="3"/>
  <c r="Y24" i="3"/>
  <c r="W25" i="3"/>
  <c r="X25" i="3"/>
  <c r="Y25" i="3"/>
  <c r="W26" i="3"/>
  <c r="X26" i="3"/>
  <c r="Y26" i="3"/>
  <c r="W27" i="3"/>
  <c r="X27" i="3"/>
  <c r="Y27" i="3"/>
  <c r="W28" i="3"/>
  <c r="X28" i="3"/>
  <c r="Y28" i="3"/>
  <c r="W29" i="3"/>
  <c r="X29" i="3"/>
  <c r="Y29" i="3"/>
  <c r="W30" i="3"/>
  <c r="X30" i="3"/>
  <c r="Y30" i="3"/>
  <c r="W31" i="3"/>
  <c r="X31" i="3"/>
  <c r="Y31" i="3"/>
  <c r="W32" i="3"/>
  <c r="X32" i="3"/>
  <c r="Y32" i="3"/>
  <c r="W33" i="3"/>
  <c r="X33" i="3"/>
  <c r="Y33" i="3"/>
  <c r="W34" i="3"/>
  <c r="X34" i="3"/>
  <c r="Y34" i="3"/>
  <c r="W35" i="3"/>
  <c r="X35" i="3"/>
  <c r="Y35" i="3"/>
  <c r="W36" i="3"/>
  <c r="X36" i="3"/>
  <c r="Y36" i="3"/>
  <c r="W37" i="3"/>
  <c r="X37" i="3"/>
  <c r="Y37" i="3"/>
  <c r="W38" i="3"/>
  <c r="X38" i="3"/>
  <c r="Y38" i="3"/>
  <c r="W39" i="3"/>
  <c r="X39" i="3"/>
  <c r="Y39" i="3"/>
  <c r="W40" i="3"/>
  <c r="X40" i="3"/>
  <c r="Y40" i="3"/>
  <c r="W41" i="3"/>
  <c r="X41" i="3"/>
  <c r="Y41" i="3"/>
  <c r="W42" i="3"/>
  <c r="X42" i="3"/>
  <c r="Y42" i="3"/>
  <c r="W43" i="3"/>
  <c r="X43" i="3"/>
  <c r="Y43" i="3"/>
  <c r="W44" i="3"/>
  <c r="X44" i="3"/>
  <c r="Y44" i="3"/>
  <c r="W45" i="3"/>
  <c r="X45" i="3"/>
  <c r="Y45" i="3"/>
  <c r="W46" i="3"/>
  <c r="X46" i="3"/>
  <c r="Y46" i="3"/>
  <c r="W47" i="3"/>
  <c r="X47" i="3"/>
  <c r="Y47" i="3"/>
  <c r="W48" i="3"/>
  <c r="X48" i="3"/>
  <c r="Y48" i="3"/>
  <c r="W49" i="3"/>
  <c r="X49" i="3"/>
  <c r="Y49" i="3"/>
  <c r="W50" i="3"/>
  <c r="X50" i="3"/>
  <c r="Y50" i="3"/>
  <c r="W51" i="3"/>
  <c r="X51" i="3"/>
  <c r="Y51" i="3"/>
  <c r="W52" i="3"/>
  <c r="X52" i="3"/>
  <c r="Y52" i="3"/>
  <c r="Y3" i="3"/>
  <c r="X3" i="3"/>
  <c r="W3" i="3"/>
  <c r="W4" i="2"/>
  <c r="X4" i="2"/>
  <c r="Y4" i="2"/>
  <c r="W5" i="2"/>
  <c r="X5" i="2"/>
  <c r="Y5" i="2"/>
  <c r="W6" i="2"/>
  <c r="X6" i="2"/>
  <c r="Y6" i="2"/>
  <c r="W7" i="2"/>
  <c r="X7" i="2"/>
  <c r="Y7" i="2"/>
  <c r="W8" i="2"/>
  <c r="X8" i="2"/>
  <c r="Y8" i="2"/>
  <c r="W9" i="2"/>
  <c r="X9" i="2"/>
  <c r="Y9" i="2"/>
  <c r="W10" i="2"/>
  <c r="X10" i="2"/>
  <c r="Y10" i="2"/>
  <c r="W11" i="2"/>
  <c r="X11" i="2"/>
  <c r="Y11" i="2"/>
  <c r="W12" i="2"/>
  <c r="X12" i="2"/>
  <c r="Y12" i="2"/>
  <c r="W13" i="2"/>
  <c r="X13" i="2"/>
  <c r="Y13" i="2"/>
  <c r="W14" i="2"/>
  <c r="X14" i="2"/>
  <c r="Y14" i="2"/>
  <c r="W15" i="2"/>
  <c r="X15" i="2"/>
  <c r="Y15" i="2"/>
  <c r="W16" i="2"/>
  <c r="X16" i="2"/>
  <c r="Y16" i="2"/>
  <c r="W17" i="2"/>
  <c r="X17" i="2"/>
  <c r="Y17" i="2"/>
  <c r="W18" i="2"/>
  <c r="X18" i="2"/>
  <c r="Y18" i="2"/>
  <c r="W19" i="2"/>
  <c r="X19" i="2"/>
  <c r="Y19" i="2"/>
  <c r="W20" i="2"/>
  <c r="X20" i="2"/>
  <c r="Y20" i="2"/>
  <c r="W21" i="2"/>
  <c r="X21" i="2"/>
  <c r="Y21" i="2"/>
  <c r="W22" i="2"/>
  <c r="X22" i="2"/>
  <c r="Y22" i="2"/>
  <c r="W23" i="2"/>
  <c r="X23" i="2"/>
  <c r="Y23" i="2"/>
  <c r="W24" i="2"/>
  <c r="X24" i="2"/>
  <c r="Y24" i="2"/>
  <c r="W25" i="2"/>
  <c r="X25" i="2"/>
  <c r="Y25" i="2"/>
  <c r="W26" i="2"/>
  <c r="X26" i="2"/>
  <c r="Y26" i="2"/>
  <c r="W27" i="2"/>
  <c r="X27" i="2"/>
  <c r="Y27" i="2"/>
  <c r="W28" i="2"/>
  <c r="X28" i="2"/>
  <c r="Y28" i="2"/>
  <c r="W29" i="2"/>
  <c r="X29" i="2"/>
  <c r="Y29" i="2"/>
  <c r="W30" i="2"/>
  <c r="X30" i="2"/>
  <c r="Y30" i="2"/>
  <c r="W31" i="2"/>
  <c r="X31" i="2"/>
  <c r="Y31" i="2"/>
  <c r="W32" i="2"/>
  <c r="X32" i="2"/>
  <c r="Y32" i="2"/>
  <c r="W33" i="2"/>
  <c r="X33" i="2"/>
  <c r="Y33" i="2"/>
  <c r="W34" i="2"/>
  <c r="X34" i="2"/>
  <c r="Y34" i="2"/>
  <c r="W35" i="2"/>
  <c r="X35" i="2"/>
  <c r="Y35" i="2"/>
  <c r="W36" i="2"/>
  <c r="X36" i="2"/>
  <c r="Y36" i="2"/>
  <c r="W37" i="2"/>
  <c r="X37" i="2"/>
  <c r="Y37" i="2"/>
  <c r="W38" i="2"/>
  <c r="X38" i="2"/>
  <c r="Y38" i="2"/>
  <c r="W39" i="2"/>
  <c r="X39" i="2"/>
  <c r="Y39" i="2"/>
  <c r="W40" i="2"/>
  <c r="X40" i="2"/>
  <c r="Y40" i="2"/>
  <c r="W41" i="2"/>
  <c r="X41" i="2"/>
  <c r="Y41" i="2"/>
  <c r="W42" i="2"/>
  <c r="X42" i="2"/>
  <c r="Y42" i="2"/>
  <c r="W43" i="2"/>
  <c r="X43" i="2"/>
  <c r="Y43" i="2"/>
  <c r="W44" i="2"/>
  <c r="X44" i="2"/>
  <c r="Y44" i="2"/>
  <c r="W45" i="2"/>
  <c r="X45" i="2"/>
  <c r="Y45" i="2"/>
  <c r="W46" i="2"/>
  <c r="X46" i="2"/>
  <c r="Y46" i="2"/>
  <c r="W47" i="2"/>
  <c r="X47" i="2"/>
  <c r="Y47" i="2"/>
  <c r="W48" i="2"/>
  <c r="X48" i="2"/>
  <c r="Y48" i="2"/>
  <c r="W49" i="2"/>
  <c r="X49" i="2"/>
  <c r="Y49" i="2"/>
  <c r="W50" i="2"/>
  <c r="X50" i="2"/>
  <c r="Y50" i="2"/>
  <c r="W51" i="2"/>
  <c r="X51" i="2"/>
  <c r="Y51" i="2"/>
  <c r="W52" i="2"/>
  <c r="X52" i="2"/>
  <c r="Y52" i="2"/>
  <c r="Y3" i="2"/>
  <c r="X3" i="2"/>
  <c r="W4" i="1"/>
  <c r="X4" i="1"/>
  <c r="Y4" i="1"/>
  <c r="W5" i="1"/>
  <c r="X5" i="1"/>
  <c r="Y5" i="1"/>
  <c r="W6" i="1"/>
  <c r="X6" i="1"/>
  <c r="Y6" i="1"/>
  <c r="W7" i="1"/>
  <c r="X7" i="1"/>
  <c r="Y7" i="1"/>
  <c r="W8" i="1"/>
  <c r="X8" i="1"/>
  <c r="Y8" i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Y3" i="1"/>
  <c r="X3" i="1"/>
  <c r="W3" i="1"/>
</calcChain>
</file>

<file path=xl/sharedStrings.xml><?xml version="1.0" encoding="utf-8"?>
<sst xmlns="http://schemas.openxmlformats.org/spreadsheetml/2006/main" count="1279" uniqueCount="175">
  <si>
    <t>Welch Two Sample t-test</t>
  </si>
  <si>
    <t>data:  Data by Group</t>
  </si>
  <si>
    <t>t = -1.2863, df = 6.8144, p-value = 0.2403</t>
  </si>
  <si>
    <t>alternative hypothesis: true difference in means between group Control and group T1D is not equal to 0</t>
  </si>
  <si>
    <t>t = 5.1465, df = 16.636, p-value = 8.635e-05</t>
  </si>
  <si>
    <t>95 percent confidence interval:</t>
  </si>
  <si>
    <t xml:space="preserve"> -2108.7418   628.1572</t>
  </si>
  <si>
    <t>sample estimates:</t>
  </si>
  <si>
    <t xml:space="preserve">  5.169004 12.371894</t>
  </si>
  <si>
    <t xml:space="preserve">mean in group Control     mean in group T1D </t>
  </si>
  <si>
    <t xml:space="preserve">             792.2791             1532.5714 </t>
  </si>
  <si>
    <t xml:space="preserve">            10.122116              1.351667 </t>
  </si>
  <si>
    <t>Number</t>
  </si>
  <si>
    <t>UNOS ID</t>
  </si>
  <si>
    <t>Sample Name</t>
  </si>
  <si>
    <t>GCG</t>
  </si>
  <si>
    <t>GCG Content (pg/IEQ)</t>
  </si>
  <si>
    <t>INS</t>
  </si>
  <si>
    <t>INS Content (ng/IEQ)</t>
  </si>
  <si>
    <t>Reason</t>
  </si>
  <si>
    <t>AEF406</t>
  </si>
  <si>
    <t>20170110-AEAF406-T1D-23-0.4yM-AHN</t>
  </si>
  <si>
    <t>Yes</t>
  </si>
  <si>
    <t>AEAJ194</t>
  </si>
  <si>
    <t>20170114-AEAJ194-T1D-23-5yM-HPAP-002-Islet perifusion data</t>
  </si>
  <si>
    <t>No</t>
  </si>
  <si>
    <t>No Secretion Data</t>
  </si>
  <si>
    <t>AEGI183</t>
  </si>
  <si>
    <t>20170713-AEGI183-T1D-56-25yM-LOU-Islet perifusion data</t>
  </si>
  <si>
    <t>AEKL093</t>
  </si>
  <si>
    <t>20171115-AEKL093-T1D-44-15yM-AHN-Islet perifusion data</t>
  </si>
  <si>
    <t>AFDE034</t>
  </si>
  <si>
    <t>20180410-AFDE034-T1D-35-22yM-AHN-Islet perifusion data</t>
  </si>
  <si>
    <t>AFKG460</t>
  </si>
  <si>
    <t>20181113-AFKG460-T1D-13-6yM-AHN-Islet perifusion data</t>
  </si>
  <si>
    <t>AFLC352</t>
  </si>
  <si>
    <t>20181211-AFLC352-T1D-19-8yF-AHN-Islet perifusion data</t>
  </si>
  <si>
    <t>No Insulin secretion</t>
  </si>
  <si>
    <t>20190103-6480-T1D-17-2yM-nPOD-Islet perifusion data</t>
  </si>
  <si>
    <t>20190201-6485-T1D-10-8yM-nPOD-Islet perifusion data</t>
  </si>
  <si>
    <t>20190917-RRIDSAMN12748653-T1D-30yM-ALB-Islet perifusion data</t>
  </si>
  <si>
    <t>Abnormal</t>
  </si>
  <si>
    <t>GCG Secretion abnormal / outlier - extrapolated data</t>
  </si>
  <si>
    <t>AGLF388</t>
  </si>
  <si>
    <t>20191211-AGLF388-T1D-21-14yM-AHN-Islet perifusion data</t>
  </si>
  <si>
    <t>AHAW082</t>
  </si>
  <si>
    <t>20200128-AHAW082-T1D-26y-12yM-AHN-Islet perifusion data</t>
  </si>
  <si>
    <t>AHA1087</t>
  </si>
  <si>
    <t>20200201-AHA1087-T1D-24y-7yM-HPAP055-Islet perifusion data</t>
  </si>
  <si>
    <t>AFIR279</t>
  </si>
  <si>
    <t>20180925-RRIDSAMN19776463-T1D-10y-F-HPAP-032</t>
  </si>
  <si>
    <t>GCG Secretion abnormal / outlier - unusually concentrated</t>
  </si>
  <si>
    <t>AHGK498</t>
  </si>
  <si>
    <t>20200716-RRIDSAMN19842593-T1D-24y-M-HPAP-064</t>
  </si>
  <si>
    <t>AJLK085</t>
  </si>
  <si>
    <t>20230621-RRIDSAMN34280071-T1D-35y-F-HPAP-138</t>
  </si>
  <si>
    <t>AKD3093</t>
  </si>
  <si>
    <t>20231103-RRIDSAMN36405517-T1D-31y-M-HPAP-151</t>
  </si>
  <si>
    <t>No secretion data</t>
  </si>
  <si>
    <t>AKJ1472</t>
  </si>
  <si>
    <t>20231103-RRIDSAMN37875591-T1D-27y-M-HPAP-156</t>
  </si>
  <si>
    <t>Fraction</t>
  </si>
  <si>
    <t>Time</t>
  </si>
  <si>
    <t>Stimulus</t>
  </si>
  <si>
    <t>Average</t>
  </si>
  <si>
    <t>Stdev</t>
  </si>
  <si>
    <t>N</t>
  </si>
  <si>
    <t>StdDev</t>
  </si>
  <si>
    <t>5.6 mM Glu</t>
  </si>
  <si>
    <t xml:space="preserve">5.6 mM Glu </t>
  </si>
  <si>
    <t xml:space="preserve">16.7 mM Glu </t>
  </si>
  <si>
    <t xml:space="preserve">16.7 mM Glu + 100 uM IBMX </t>
  </si>
  <si>
    <t>1.7mM Glu + 1 uM Epinephrine/HCl</t>
  </si>
  <si>
    <t>5.6 mM Glu + 20 mM KCl</t>
  </si>
  <si>
    <t>Marcela Compiled T1D Preps</t>
  </si>
  <si>
    <t>No Secretion data</t>
  </si>
  <si>
    <t>GCG secretion only</t>
  </si>
  <si>
    <t>No INS data, No GCG extracts for assay</t>
  </si>
  <si>
    <t>IIDP Compiled Preps</t>
  </si>
  <si>
    <t>20180925-RRIDSAMN19776463-T1D-10y-F-HPAP</t>
  </si>
  <si>
    <t>20200716-RRIDSAMN19842593-T1D-24y-M-HPAP</t>
  </si>
  <si>
    <t>20230621-RRIDSAMN34280071-T1D-35y-F-HPAP</t>
  </si>
  <si>
    <t>20231103-RRIDSAMN36405517-T1D-31y-M-HPAP</t>
  </si>
  <si>
    <t>20231103-RRIDSAMN37875591-T1D-27y-M-HPAP</t>
  </si>
  <si>
    <t>`</t>
  </si>
  <si>
    <t>Outlier via IQR</t>
  </si>
  <si>
    <t>Abnormal data, had to diluted 4x for these values</t>
  </si>
  <si>
    <t>Raw data shows extrapolation</t>
  </si>
  <si>
    <t>Trace is unusual</t>
  </si>
  <si>
    <t>*</t>
  </si>
  <si>
    <t>Abnormal data / Extrapolation</t>
  </si>
  <si>
    <t>IIDP Compiled T1D Preps</t>
  </si>
  <si>
    <t>GCG secretion only, abnormal data</t>
  </si>
  <si>
    <t>Abnormal GCG secretion data</t>
  </si>
  <si>
    <t>Insulin secretion (ng/100 IEQ/min)</t>
  </si>
  <si>
    <t>red = no/poor response</t>
  </si>
  <si>
    <t>blue = HPAP</t>
  </si>
  <si>
    <t>ADOLESCENT</t>
  </si>
  <si>
    <t>ADULT</t>
  </si>
  <si>
    <t>orange = abnormal trace</t>
  </si>
  <si>
    <t>Time (min)</t>
  </si>
  <si>
    <t>AUC group</t>
  </si>
  <si>
    <t>Stim. Index group</t>
  </si>
  <si>
    <t>Inhib. Index group</t>
  </si>
  <si>
    <t>AEFZ087-ND-16y-M</t>
  </si>
  <si>
    <t>AEKD258-ND-15y-M</t>
  </si>
  <si>
    <t>AFCU387-ND-14y-M</t>
  </si>
  <si>
    <t>AFHQ493-ND-16y-M</t>
  </si>
  <si>
    <t>AGIU287-ND-16y-M</t>
  </si>
  <si>
    <t>AEAY238-ND-14yF-HPAP005</t>
  </si>
  <si>
    <t>AEDI259-ND-19y-M</t>
  </si>
  <si>
    <t>AEDZ192-ND-19y-M</t>
  </si>
  <si>
    <t>AFGJ070-ND-19y-M</t>
  </si>
  <si>
    <t>AHAP183-ND-18y-M</t>
  </si>
  <si>
    <t>AIBT467-ND-19y-M</t>
  </si>
  <si>
    <t>AICB152-ND-19y-M</t>
  </si>
  <si>
    <t>AFEF080-ND-55y-F</t>
  </si>
  <si>
    <t>AFES372-ND-52y-M</t>
  </si>
  <si>
    <t>ACHM315-ND-55y-M</t>
  </si>
  <si>
    <t>AFG1440-ND-45y-F</t>
  </si>
  <si>
    <t>AFJJ008-ND-42y-M</t>
  </si>
  <si>
    <t>AFL5294-ND-35y-M</t>
  </si>
  <si>
    <t>AGBA390-ND-48y-M</t>
  </si>
  <si>
    <t>AGKS491-ND-59y-M</t>
  </si>
  <si>
    <t>AHAD144-ND-46y-F</t>
  </si>
  <si>
    <t>AGDB487-ND-24y-M</t>
  </si>
  <si>
    <t>AGK4415-ND-27y-M</t>
  </si>
  <si>
    <t>AHFY114-ND-30y-M</t>
  </si>
  <si>
    <t>AIDD466-ND-28y-M</t>
  </si>
  <si>
    <t>AIDV122-ND-55y-M</t>
  </si>
  <si>
    <t>AUC 1</t>
  </si>
  <si>
    <t>SI 1</t>
  </si>
  <si>
    <t>AUC 2</t>
  </si>
  <si>
    <t>SI 2</t>
  </si>
  <si>
    <t>II 1</t>
  </si>
  <si>
    <t>AUC 3</t>
  </si>
  <si>
    <t>SI 3</t>
  </si>
  <si>
    <t>3-9</t>
  </si>
  <si>
    <t>Basal insulin secretion (ng/100 IEQs/min)</t>
  </si>
  <si>
    <t>90-93</t>
  </si>
  <si>
    <t>Inhibition Index (II) - baseline</t>
  </si>
  <si>
    <t>90-108</t>
  </si>
  <si>
    <t>Inhibition index (II) - minimum</t>
  </si>
  <si>
    <t>Inhibition index (II)</t>
  </si>
  <si>
    <t>AUC 16.7</t>
  </si>
  <si>
    <t>AUC 16.7 1st</t>
  </si>
  <si>
    <t>AUC 16.7 2nd</t>
  </si>
  <si>
    <t>AUC IBMX</t>
  </si>
  <si>
    <t>AUC Epi</t>
  </si>
  <si>
    <t>AUC KCl</t>
  </si>
  <si>
    <t>Insulin secretion (% content/min)</t>
  </si>
  <si>
    <t>Basal insulin secretion (% content/min)</t>
  </si>
  <si>
    <t>Glucagon secretion (pg/100 IEQ/min)</t>
  </si>
  <si>
    <t>Basal glucagon secretion (pg/100 IEQs/min)</t>
  </si>
  <si>
    <t>3-6</t>
  </si>
  <si>
    <t>3-42</t>
  </si>
  <si>
    <t>Inhibition Index (II) - minimum</t>
  </si>
  <si>
    <t>Inhibition Index (II)</t>
  </si>
  <si>
    <t>Glucagon secretion (% content/min)</t>
  </si>
  <si>
    <t>Basal glucagon secretion (% content/min)</t>
  </si>
  <si>
    <t>Prep</t>
  </si>
  <si>
    <t>Age group</t>
  </si>
  <si>
    <t>INS (ng/IEQ)</t>
  </si>
  <si>
    <t>INS assay</t>
  </si>
  <si>
    <t>GCG (pg/IEQ)</t>
  </si>
  <si>
    <t>GCG assay</t>
  </si>
  <si>
    <t>Adolescent</t>
  </si>
  <si>
    <t>Mercodia RIA</t>
  </si>
  <si>
    <t>Mercodia ELISA</t>
  </si>
  <si>
    <t>Cisbio HTRF</t>
  </si>
  <si>
    <t>Poor Response</t>
  </si>
  <si>
    <t>Adult</t>
  </si>
  <si>
    <t>No extract</t>
  </si>
  <si>
    <t>R&amp;D ELISA</t>
  </si>
  <si>
    <t>HPAP (isolated at Penn)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</si>
</sst>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u/>
      <sz val="11"/>
      <name val="Arial"/>
      <family val="2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rgb="FFC00000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12"/>
      <color rgb="FFC00000"/>
      <name val="Aptos Narrow"/>
      <family val="2"/>
      <scheme val="minor"/>
    </font>
    <font>
      <b/>
      <i/>
      <sz val="12"/>
      <color theme="5"/>
      <name val="Aptos Narrow"/>
      <family val="2"/>
      <scheme val="minor"/>
    </font>
    <font>
      <i/>
      <sz val="12"/>
      <color theme="5"/>
      <name val="Aptos Narrow"/>
      <family val="2"/>
      <scheme val="minor"/>
    </font>
    <font>
      <sz val="12"/>
      <name val="Arial"/>
      <family val="2"/>
    </font>
    <font>
      <i/>
      <sz val="12"/>
      <color theme="1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E7F81"/>
        <bgColor indexed="64"/>
      </patternFill>
    </fill>
    <fill>
      <patternFill patternType="solid">
        <fgColor rgb="FF7AD694"/>
        <bgColor indexed="64"/>
      </patternFill>
    </fill>
    <fill>
      <patternFill patternType="solid">
        <fgColor rgb="FFFE7F8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000000"/>
      </patternFill>
    </fill>
    <fill>
      <patternFill patternType="solid">
        <fgColor rgb="FF7AD694"/>
        <bgColor rgb="FFD9D9D9"/>
      </patternFill>
    </fill>
    <fill>
      <patternFill patternType="solid">
        <fgColor rgb="FF7AD694"/>
        <bgColor rgb="FF000000"/>
      </patternFill>
    </fill>
    <fill>
      <patternFill patternType="solid">
        <fgColor rgb="FFFE7F81"/>
        <bgColor rgb="FFD9D9D9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dashed">
        <color rgb="FFD9D9D9"/>
      </left>
      <right style="dashed">
        <color rgb="FFD9D9D9"/>
      </right>
      <top/>
      <bottom style="dashed">
        <color rgb="FFD9D9D9"/>
      </bottom>
      <diagonal/>
    </border>
    <border>
      <left style="dashed">
        <color theme="0" tint="-0.14999847407452621"/>
      </left>
      <right style="dashed">
        <color theme="0" tint="-0.14999847407452621"/>
      </right>
      <top/>
      <bottom style="thin">
        <color indexed="64"/>
      </bottom>
      <diagonal/>
    </border>
    <border>
      <left style="dashed">
        <color theme="0" tint="-0.14999847407452621"/>
      </left>
      <right style="dashed">
        <color theme="0" tint="-0.14999847407452621"/>
      </right>
      <top/>
      <bottom style="dashed">
        <color theme="0" tint="-0.14999847407452621"/>
      </bottom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/>
      <diagonal/>
    </border>
    <border>
      <left/>
      <right/>
      <top style="medium">
        <color theme="1"/>
      </top>
      <bottom/>
      <diagonal/>
    </border>
    <border>
      <left style="dashed">
        <color theme="0" tint="-0.14999847407452621"/>
      </left>
      <right/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</borders>
  <cellStyleXfs count="2">
    <xf numFmtId="0" fontId="0" fillId="0" borderId="0"/>
    <xf numFmtId="0" fontId="16" fillId="0" borderId="0"/>
  </cellStyleXfs>
  <cellXfs count="1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6" fillId="0" borderId="0" xfId="0" applyFont="1" applyAlignment="1">
      <alignment horizontal="center"/>
    </xf>
    <xf numFmtId="0" fontId="0" fillId="5" borderId="0" xfId="0" applyFill="1"/>
    <xf numFmtId="0" fontId="0" fillId="0" borderId="3" xfId="0" applyBorder="1"/>
    <xf numFmtId="0" fontId="7" fillId="0" borderId="4" xfId="0" applyFont="1" applyBorder="1"/>
    <xf numFmtId="0" fontId="7" fillId="0" borderId="5" xfId="0" applyFont="1" applyBorder="1"/>
    <xf numFmtId="0" fontId="10" fillId="0" borderId="0" xfId="0" applyFont="1"/>
    <xf numFmtId="0" fontId="11" fillId="0" borderId="0" xfId="0" applyFon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3" fillId="4" borderId="0" xfId="0" applyFont="1" applyFill="1"/>
    <xf numFmtId="0" fontId="3" fillId="6" borderId="0" xfId="0" applyFont="1" applyFill="1"/>
    <xf numFmtId="0" fontId="3" fillId="4" borderId="1" xfId="0" applyFont="1" applyFill="1" applyBorder="1"/>
    <xf numFmtId="0" fontId="0" fillId="4" borderId="3" xfId="0" applyFill="1" applyBorder="1"/>
    <xf numFmtId="0" fontId="0" fillId="7" borderId="0" xfId="0" applyFill="1"/>
    <xf numFmtId="0" fontId="12" fillId="0" borderId="0" xfId="0" applyFont="1"/>
    <xf numFmtId="0" fontId="13" fillId="0" borderId="0" xfId="0" applyFont="1" applyAlignment="1">
      <alignment horizontal="right"/>
    </xf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/>
    <xf numFmtId="0" fontId="14" fillId="9" borderId="0" xfId="0" applyFont="1" applyFill="1"/>
    <xf numFmtId="0" fontId="15" fillId="9" borderId="0" xfId="0" applyFont="1" applyFill="1"/>
    <xf numFmtId="0" fontId="13" fillId="9" borderId="0" xfId="0" applyFont="1" applyFill="1"/>
    <xf numFmtId="0" fontId="15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0" borderId="6" xfId="0" applyFont="1" applyBorder="1" applyAlignment="1">
      <alignment horizontal="center" wrapText="1"/>
    </xf>
    <xf numFmtId="0" fontId="9" fillId="0" borderId="6" xfId="1" applyFont="1" applyBorder="1" applyAlignment="1">
      <alignment horizontal="center" wrapText="1"/>
    </xf>
    <xf numFmtId="0" fontId="9" fillId="8" borderId="6" xfId="0" applyFont="1" applyFill="1" applyBorder="1" applyAlignment="1">
      <alignment horizontal="center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2" fontId="9" fillId="0" borderId="6" xfId="0" applyNumberFormat="1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1" applyFont="1" applyBorder="1"/>
    <xf numFmtId="0" fontId="14" fillId="0" borderId="0" xfId="0" applyFont="1"/>
    <xf numFmtId="2" fontId="0" fillId="0" borderId="7" xfId="0" applyNumberFormat="1" applyBorder="1"/>
    <xf numFmtId="0" fontId="20" fillId="0" borderId="0" xfId="0" applyFont="1"/>
    <xf numFmtId="0" fontId="0" fillId="0" borderId="3" xfId="1" applyFont="1" applyBorder="1"/>
    <xf numFmtId="2" fontId="0" fillId="0" borderId="3" xfId="0" applyNumberFormat="1" applyBorder="1"/>
    <xf numFmtId="0" fontId="0" fillId="10" borderId="3" xfId="0" applyFill="1" applyBorder="1"/>
    <xf numFmtId="0" fontId="21" fillId="0" borderId="0" xfId="0" applyFont="1" applyAlignment="1">
      <alignment horizontal="left"/>
    </xf>
    <xf numFmtId="0" fontId="0" fillId="10" borderId="3" xfId="1" applyFont="1" applyFill="1" applyBorder="1"/>
    <xf numFmtId="0" fontId="0" fillId="0" borderId="8" xfId="0" applyBorder="1"/>
    <xf numFmtId="0" fontId="0" fillId="0" borderId="8" xfId="1" applyFont="1" applyBorder="1"/>
    <xf numFmtId="2" fontId="0" fillId="0" borderId="8" xfId="0" applyNumberFormat="1" applyBorder="1"/>
    <xf numFmtId="16" fontId="8" fillId="0" borderId="9" xfId="1" quotePrefix="1" applyNumberFormat="1" applyFont="1" applyBorder="1" applyAlignment="1">
      <alignment horizontal="right"/>
    </xf>
    <xf numFmtId="0" fontId="8" fillId="0" borderId="9" xfId="1" quotePrefix="1" applyFont="1" applyBorder="1" applyAlignment="1">
      <alignment horizontal="right"/>
    </xf>
    <xf numFmtId="0" fontId="8" fillId="0" borderId="9" xfId="1" applyFont="1" applyBorder="1"/>
    <xf numFmtId="0" fontId="14" fillId="0" borderId="9" xfId="1" applyFont="1" applyBorder="1"/>
    <xf numFmtId="0" fontId="20" fillId="0" borderId="9" xfId="1" applyFont="1" applyBorder="1"/>
    <xf numFmtId="0" fontId="8" fillId="0" borderId="0" xfId="1" quotePrefix="1" applyFont="1" applyAlignment="1">
      <alignment horizontal="right"/>
    </xf>
    <xf numFmtId="0" fontId="8" fillId="0" borderId="0" xfId="1" applyFont="1" applyAlignment="1">
      <alignment horizontal="right"/>
    </xf>
    <xf numFmtId="0" fontId="8" fillId="0" borderId="0" xfId="1" applyFont="1"/>
    <xf numFmtId="0" fontId="0" fillId="0" borderId="0" xfId="1" applyFont="1"/>
    <xf numFmtId="2" fontId="8" fillId="0" borderId="0" xfId="1" applyNumberFormat="1" applyFont="1"/>
    <xf numFmtId="2" fontId="14" fillId="0" borderId="0" xfId="1" applyNumberFormat="1" applyFont="1"/>
    <xf numFmtId="2" fontId="20" fillId="0" borderId="0" xfId="1" applyNumberFormat="1" applyFont="1"/>
    <xf numFmtId="0" fontId="16" fillId="0" borderId="0" xfId="1"/>
    <xf numFmtId="0" fontId="14" fillId="0" borderId="0" xfId="1" applyFont="1"/>
    <xf numFmtId="0" fontId="20" fillId="0" borderId="0" xfId="1" applyFont="1"/>
    <xf numFmtId="0" fontId="15" fillId="0" borderId="0" xfId="0" applyFont="1"/>
    <xf numFmtId="0" fontId="13" fillId="0" borderId="0" xfId="0" applyFont="1"/>
    <xf numFmtId="0" fontId="20" fillId="9" borderId="0" xfId="0" applyFont="1" applyFill="1"/>
    <xf numFmtId="0" fontId="19" fillId="0" borderId="6" xfId="0" applyFont="1" applyBorder="1" applyAlignment="1">
      <alignment horizontal="center" wrapText="1"/>
    </xf>
    <xf numFmtId="0" fontId="20" fillId="0" borderId="7" xfId="0" applyFont="1" applyBorder="1"/>
    <xf numFmtId="0" fontId="14" fillId="0" borderId="7" xfId="0" applyFont="1" applyBorder="1"/>
    <xf numFmtId="0" fontId="20" fillId="0" borderId="3" xfId="0" applyFont="1" applyBorder="1"/>
    <xf numFmtId="0" fontId="14" fillId="0" borderId="3" xfId="0" applyFont="1" applyBorder="1"/>
    <xf numFmtId="0" fontId="22" fillId="0" borderId="3" xfId="0" applyFont="1" applyBorder="1"/>
    <xf numFmtId="0" fontId="20" fillId="0" borderId="8" xfId="0" applyFont="1" applyBorder="1"/>
    <xf numFmtId="0" fontId="22" fillId="0" borderId="8" xfId="0" applyFont="1" applyBorder="1"/>
    <xf numFmtId="0" fontId="14" fillId="0" borderId="8" xfId="0" applyFont="1" applyBorder="1"/>
    <xf numFmtId="16" fontId="8" fillId="0" borderId="0" xfId="1" quotePrefix="1" applyNumberFormat="1" applyFont="1" applyAlignment="1">
      <alignment horizontal="right"/>
    </xf>
    <xf numFmtId="17" fontId="8" fillId="0" borderId="0" xfId="1" quotePrefix="1" applyNumberFormat="1" applyFont="1" applyAlignment="1">
      <alignment horizontal="right"/>
    </xf>
    <xf numFmtId="2" fontId="0" fillId="0" borderId="0" xfId="1" applyNumberFormat="1" applyFont="1"/>
    <xf numFmtId="0" fontId="22" fillId="9" borderId="0" xfId="0" applyFont="1" applyFill="1"/>
    <xf numFmtId="0" fontId="23" fillId="0" borderId="0" xfId="0" applyFont="1" applyAlignment="1">
      <alignment wrapText="1"/>
    </xf>
    <xf numFmtId="0" fontId="22" fillId="0" borderId="0" xfId="0" applyFont="1"/>
    <xf numFmtId="0" fontId="0" fillId="0" borderId="10" xfId="0" applyBorder="1"/>
    <xf numFmtId="0" fontId="0" fillId="0" borderId="11" xfId="0" applyBorder="1"/>
    <xf numFmtId="0" fontId="22" fillId="0" borderId="9" xfId="1" applyFont="1" applyBorder="1"/>
    <xf numFmtId="2" fontId="22" fillId="0" borderId="0" xfId="1" applyNumberFormat="1" applyFont="1"/>
    <xf numFmtId="0" fontId="22" fillId="0" borderId="0" xfId="1" applyFont="1"/>
    <xf numFmtId="0" fontId="11" fillId="0" borderId="0" xfId="0" applyFont="1" applyAlignment="1">
      <alignment horizontal="right"/>
    </xf>
    <xf numFmtId="0" fontId="24" fillId="0" borderId="0" xfId="0" applyFont="1"/>
    <xf numFmtId="0" fontId="25" fillId="11" borderId="0" xfId="0" applyFont="1" applyFill="1"/>
    <xf numFmtId="0" fontId="25" fillId="11" borderId="0" xfId="0" applyFont="1" applyFill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left"/>
    </xf>
    <xf numFmtId="0" fontId="25" fillId="12" borderId="0" xfId="0" applyFont="1" applyFill="1" applyAlignment="1">
      <alignment horizontal="left"/>
    </xf>
    <xf numFmtId="0" fontId="27" fillId="11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25" fillId="13" borderId="0" xfId="0" applyFont="1" applyFill="1"/>
    <xf numFmtId="0" fontId="25" fillId="13" borderId="0" xfId="0" applyFont="1" applyFill="1" applyAlignment="1">
      <alignment horizontal="left"/>
    </xf>
    <xf numFmtId="0" fontId="25" fillId="5" borderId="0" xfId="0" applyFont="1" applyFill="1"/>
    <xf numFmtId="0" fontId="25" fillId="5" borderId="0" xfId="0" applyFont="1" applyFill="1" applyAlignment="1">
      <alignment horizontal="left"/>
    </xf>
    <xf numFmtId="0" fontId="25" fillId="14" borderId="0" xfId="0" applyFont="1" applyFill="1"/>
    <xf numFmtId="0" fontId="25" fillId="14" borderId="0" xfId="0" applyFont="1" applyFill="1" applyAlignment="1">
      <alignment horizontal="left"/>
    </xf>
    <xf numFmtId="0" fontId="26" fillId="15" borderId="0" xfId="0" applyFont="1" applyFill="1" applyAlignment="1">
      <alignment horizontal="left"/>
    </xf>
    <xf numFmtId="0" fontId="25" fillId="15" borderId="0" xfId="0" applyFont="1" applyFill="1" applyAlignment="1">
      <alignment horizontal="left"/>
    </xf>
    <xf numFmtId="0" fontId="28" fillId="0" borderId="0" xfId="0" applyFont="1"/>
    <xf numFmtId="0" fontId="11" fillId="0" borderId="0" xfId="0" applyFont="1" applyFill="1" applyAlignment="1">
      <alignment horizontal="center"/>
    </xf>
    <xf numFmtId="0" fontId="0" fillId="0" borderId="0" xfId="0" applyFill="1"/>
    <xf numFmtId="0" fontId="11" fillId="0" borderId="0" xfId="0" applyFont="1" applyAlignment="1">
      <alignment horizontal="left"/>
    </xf>
  </cellXfs>
  <cellStyles count="2">
    <cellStyle name="Normal" xfId="0" builtinId="0"/>
    <cellStyle name="Normal 2" xfId="1" xr:uid="{FE5B0A70-8738-0D47-B786-D3B2348F8008}"/>
  </cellStyles>
  <dxfs count="0"/>
  <tableStyles count="0" defaultTableStyle="TableStyleMedium2" defaultPivotStyle="PivotStyleLight16"/>
  <colors>
    <mruColors>
      <color rgb="FF7AD694"/>
      <color rgb="FFFE7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800100</xdr:colOff>
      <xdr:row>35</xdr:row>
      <xdr:rowOff>130480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F4A94B-8890-1258-4907-E9619CFDB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9400" cy="7242480"/>
        </a:xfrm>
        <a:prstGeom prst="rect">
          <a:avLst/>
        </a:prstGeom>
      </xdr:spPr>
    </xdr:pic>
    <xdr:clientData/>
  </xdr:twoCellAnchor>
  <xdr:twoCellAnchor editAs="oneCell">
    <xdr:from>
      <xdr:col>13</xdr:col>
      <xdr:colOff>828675</xdr:colOff>
      <xdr:row>0</xdr:row>
      <xdr:rowOff>0</xdr:rowOff>
    </xdr:from>
    <xdr:to>
      <xdr:col>18</xdr:col>
      <xdr:colOff>114300</xdr:colOff>
      <xdr:row>24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0CD29E-A4C5-43A1-ACA0-D06F2FAE2FFF}"/>
            </a:ext>
            <a:ext uri="{147F2762-F138-4A5C-976F-8EAC2B608ADB}">
              <a16:predDERef xmlns:a16="http://schemas.microsoft.com/office/drawing/2014/main" pred="{3F39F688-1813-FE24-9C0E-07E3A6A14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96825" y="0"/>
          <a:ext cx="7629525" cy="4848225"/>
        </a:xfrm>
        <a:prstGeom prst="rect">
          <a:avLst/>
        </a:prstGeom>
      </xdr:spPr>
    </xdr:pic>
    <xdr:clientData/>
  </xdr:twoCellAnchor>
  <xdr:twoCellAnchor editAs="oneCell">
    <xdr:from>
      <xdr:col>18</xdr:col>
      <xdr:colOff>495300</xdr:colOff>
      <xdr:row>0</xdr:row>
      <xdr:rowOff>0</xdr:rowOff>
    </xdr:from>
    <xdr:to>
      <xdr:col>26</xdr:col>
      <xdr:colOff>809625</xdr:colOff>
      <xdr:row>25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355A23-7D98-4029-9541-68102ED2B62C}"/>
            </a:ext>
            <a:ext uri="{147F2762-F138-4A5C-976F-8EAC2B608ADB}">
              <a16:predDERef xmlns:a16="http://schemas.microsoft.com/office/drawing/2014/main" pred="{150CD29E-A4C5-43A1-ACA0-D06F2FAE2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07350" y="0"/>
          <a:ext cx="7581900" cy="503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7D79-B27B-6744-8DC0-183D88EBC204}">
  <dimension ref="N1:T36"/>
  <sheetViews>
    <sheetView workbookViewId="0">
      <selection activeCell="S36" sqref="S36"/>
    </sheetView>
  </sheetViews>
  <sheetFormatPr defaultColWidth="11" defaultRowHeight="15.95"/>
  <cols>
    <col min="1" max="1" width="22.625" bestFit="1" customWidth="1"/>
    <col min="2" max="2" width="12.125" bestFit="1" customWidth="1"/>
    <col min="15" max="15" width="57.125" bestFit="1" customWidth="1"/>
    <col min="17" max="17" width="19.375" bestFit="1" customWidth="1"/>
    <col min="19" max="19" width="18.375" bestFit="1" customWidth="1"/>
  </cols>
  <sheetData>
    <row r="1" spans="14:20">
      <c r="N1" s="103"/>
      <c r="O1" s="121"/>
      <c r="P1" s="121"/>
      <c r="Q1" s="122"/>
      <c r="R1" s="121"/>
      <c r="S1" s="121"/>
      <c r="T1" s="24"/>
    </row>
    <row r="2" spans="14:20">
      <c r="O2" s="122"/>
      <c r="P2" s="122"/>
      <c r="Q2" s="122"/>
      <c r="R2" s="122"/>
      <c r="S2" s="122"/>
    </row>
    <row r="3" spans="14:20">
      <c r="O3" s="122"/>
      <c r="P3" s="122"/>
      <c r="Q3" s="122"/>
      <c r="R3" s="122"/>
      <c r="S3" s="122"/>
    </row>
    <row r="4" spans="14:20">
      <c r="O4" s="122"/>
      <c r="P4" s="122"/>
      <c r="Q4" s="122"/>
      <c r="R4" s="122"/>
      <c r="S4" s="122"/>
    </row>
    <row r="5" spans="14:20">
      <c r="O5" s="122"/>
      <c r="P5" s="122"/>
      <c r="Q5" s="122"/>
      <c r="R5" s="122"/>
      <c r="S5" s="122"/>
    </row>
    <row r="6" spans="14:20">
      <c r="O6" s="122"/>
      <c r="P6" s="122"/>
      <c r="Q6" s="122"/>
      <c r="R6" s="122"/>
      <c r="S6" s="122"/>
    </row>
    <row r="7" spans="14:20">
      <c r="O7" s="122"/>
      <c r="P7" s="122"/>
      <c r="Q7" s="122"/>
      <c r="R7" s="122"/>
      <c r="S7" s="122"/>
    </row>
    <row r="8" spans="14:20">
      <c r="O8" s="122"/>
      <c r="P8" s="122"/>
      <c r="Q8" s="122"/>
      <c r="R8" s="122"/>
      <c r="S8" s="122"/>
    </row>
    <row r="9" spans="14:20">
      <c r="O9" s="122"/>
      <c r="P9" s="122"/>
      <c r="Q9" s="122"/>
      <c r="R9" s="122"/>
      <c r="S9" s="122"/>
    </row>
    <row r="10" spans="14:20">
      <c r="O10" s="122"/>
      <c r="P10" s="122"/>
      <c r="Q10" s="122"/>
      <c r="R10" s="122"/>
      <c r="S10" s="122"/>
    </row>
    <row r="11" spans="14:20">
      <c r="O11" s="122"/>
      <c r="P11" s="122"/>
      <c r="Q11" s="122"/>
      <c r="R11" s="122"/>
      <c r="S11" s="122"/>
    </row>
    <row r="12" spans="14:20">
      <c r="O12" s="122"/>
      <c r="P12" s="122"/>
      <c r="Q12" s="122"/>
      <c r="R12" s="122"/>
      <c r="S12" s="122"/>
    </row>
    <row r="13" spans="14:20">
      <c r="O13" s="122"/>
      <c r="P13" s="122"/>
      <c r="Q13" s="122"/>
      <c r="R13" s="122"/>
      <c r="S13" s="122"/>
    </row>
    <row r="14" spans="14:20">
      <c r="O14" s="122"/>
      <c r="P14" s="122"/>
      <c r="Q14" s="122"/>
      <c r="R14" s="122"/>
      <c r="S14" s="122"/>
    </row>
    <row r="15" spans="14:20">
      <c r="O15" s="122"/>
      <c r="P15" s="122"/>
      <c r="Q15" s="122"/>
      <c r="R15" s="122"/>
      <c r="S15" s="122"/>
    </row>
    <row r="16" spans="14:20">
      <c r="O16" s="122"/>
      <c r="P16" s="122"/>
      <c r="Q16" s="122"/>
      <c r="R16" s="122"/>
      <c r="S16" s="122"/>
    </row>
    <row r="17" spans="15:20">
      <c r="O17" s="122"/>
      <c r="P17" s="122"/>
      <c r="Q17" s="122"/>
      <c r="R17" s="122"/>
      <c r="S17" s="122"/>
    </row>
    <row r="18" spans="15:20">
      <c r="O18" s="122"/>
      <c r="P18" s="122"/>
      <c r="Q18" s="122"/>
      <c r="R18" s="122"/>
      <c r="S18" s="122"/>
    </row>
    <row r="19" spans="15:20">
      <c r="O19" s="122"/>
      <c r="P19" s="122"/>
      <c r="Q19" s="122"/>
      <c r="R19" s="122"/>
      <c r="S19" s="122"/>
    </row>
    <row r="20" spans="15:20">
      <c r="O20" s="122"/>
      <c r="P20" s="122"/>
      <c r="Q20" s="122"/>
      <c r="R20" s="122"/>
      <c r="S20" s="122"/>
    </row>
    <row r="26" spans="15:20">
      <c r="O26" t="s">
        <v>0</v>
      </c>
    </row>
    <row r="27" spans="15:20">
      <c r="T27" t="s">
        <v>0</v>
      </c>
    </row>
    <row r="28" spans="15:20">
      <c r="O28" t="s">
        <v>1</v>
      </c>
    </row>
    <row r="29" spans="15:20">
      <c r="O29" t="s">
        <v>2</v>
      </c>
      <c r="T29" t="s">
        <v>1</v>
      </c>
    </row>
    <row r="30" spans="15:20">
      <c r="O30" t="s">
        <v>3</v>
      </c>
      <c r="T30" t="s">
        <v>4</v>
      </c>
    </row>
    <row r="31" spans="15:20">
      <c r="O31" t="s">
        <v>5</v>
      </c>
      <c r="T31" t="s">
        <v>3</v>
      </c>
    </row>
    <row r="32" spans="15:20">
      <c r="O32" t="s">
        <v>6</v>
      </c>
      <c r="T32" t="s">
        <v>5</v>
      </c>
    </row>
    <row r="33" spans="15:20">
      <c r="O33" t="s">
        <v>7</v>
      </c>
      <c r="T33" t="s">
        <v>8</v>
      </c>
    </row>
    <row r="34" spans="15:20">
      <c r="O34" t="s">
        <v>9</v>
      </c>
      <c r="T34" t="s">
        <v>7</v>
      </c>
    </row>
    <row r="35" spans="15:20">
      <c r="O35" t="s">
        <v>10</v>
      </c>
      <c r="T35" t="s">
        <v>9</v>
      </c>
    </row>
    <row r="36" spans="15:20">
      <c r="T36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0224-8936-4901-8F12-063370382597}">
  <dimension ref="A1:H19"/>
  <sheetViews>
    <sheetView tabSelected="1" workbookViewId="0">
      <selection activeCell="H1" sqref="H1"/>
    </sheetView>
  </sheetViews>
  <sheetFormatPr defaultRowHeight="15.75"/>
  <cols>
    <col min="3" max="3" width="56.75" bestFit="1" customWidth="1"/>
    <col min="5" max="5" width="18.875" bestFit="1" customWidth="1"/>
    <col min="7" max="7" width="20.25" customWidth="1"/>
  </cols>
  <sheetData>
    <row r="1" spans="1:8">
      <c r="A1" s="24" t="s">
        <v>12</v>
      </c>
      <c r="B1" s="24" t="s">
        <v>13</v>
      </c>
      <c r="C1" s="24" t="s">
        <v>14</v>
      </c>
      <c r="D1" s="24" t="s">
        <v>15</v>
      </c>
      <c r="E1" s="120" t="s">
        <v>16</v>
      </c>
      <c r="F1" s="24" t="s">
        <v>17</v>
      </c>
      <c r="G1" s="24" t="s">
        <v>18</v>
      </c>
      <c r="H1" s="123" t="s">
        <v>19</v>
      </c>
    </row>
    <row r="2" spans="1:8">
      <c r="A2">
        <v>1</v>
      </c>
      <c r="B2" t="s">
        <v>20</v>
      </c>
      <c r="C2" t="s">
        <v>21</v>
      </c>
      <c r="D2" s="19" t="s">
        <v>22</v>
      </c>
      <c r="E2">
        <v>551</v>
      </c>
      <c r="F2" s="19" t="s">
        <v>22</v>
      </c>
      <c r="G2">
        <v>1.53</v>
      </c>
    </row>
    <row r="3" spans="1:8">
      <c r="A3">
        <v>2</v>
      </c>
      <c r="B3" t="s">
        <v>23</v>
      </c>
      <c r="C3" t="s">
        <v>24</v>
      </c>
      <c r="D3" s="17" t="s">
        <v>25</v>
      </c>
      <c r="F3" s="17" t="s">
        <v>25</v>
      </c>
      <c r="H3" t="s">
        <v>26</v>
      </c>
    </row>
    <row r="4" spans="1:8">
      <c r="A4">
        <v>3</v>
      </c>
      <c r="B4" t="s">
        <v>27</v>
      </c>
      <c r="C4" t="s">
        <v>28</v>
      </c>
      <c r="D4" s="17" t="s">
        <v>25</v>
      </c>
      <c r="F4" s="17" t="s">
        <v>25</v>
      </c>
      <c r="H4" t="s">
        <v>26</v>
      </c>
    </row>
    <row r="5" spans="1:8">
      <c r="A5">
        <v>4</v>
      </c>
      <c r="B5" t="s">
        <v>29</v>
      </c>
      <c r="C5" t="s">
        <v>30</v>
      </c>
      <c r="D5" s="17" t="s">
        <v>25</v>
      </c>
      <c r="F5" s="17" t="s">
        <v>25</v>
      </c>
      <c r="H5" t="s">
        <v>26</v>
      </c>
    </row>
    <row r="6" spans="1:8">
      <c r="A6">
        <v>5</v>
      </c>
      <c r="B6" t="s">
        <v>31</v>
      </c>
      <c r="C6" t="s">
        <v>32</v>
      </c>
      <c r="D6" s="17" t="s">
        <v>25</v>
      </c>
      <c r="F6" s="17" t="s">
        <v>25</v>
      </c>
      <c r="H6" t="s">
        <v>26</v>
      </c>
    </row>
    <row r="7" spans="1:8">
      <c r="A7">
        <v>6</v>
      </c>
      <c r="B7" t="s">
        <v>33</v>
      </c>
      <c r="C7" t="s">
        <v>34</v>
      </c>
      <c r="D7" s="19" t="s">
        <v>22</v>
      </c>
      <c r="E7">
        <v>181</v>
      </c>
      <c r="F7" s="19" t="s">
        <v>22</v>
      </c>
      <c r="G7">
        <v>0.09</v>
      </c>
    </row>
    <row r="8" spans="1:8">
      <c r="A8">
        <v>7</v>
      </c>
      <c r="B8" t="s">
        <v>35</v>
      </c>
      <c r="C8" t="s">
        <v>36</v>
      </c>
      <c r="D8" s="19" t="s">
        <v>22</v>
      </c>
      <c r="E8">
        <v>4408</v>
      </c>
      <c r="F8" s="17" t="s">
        <v>25</v>
      </c>
      <c r="H8" t="s">
        <v>37</v>
      </c>
    </row>
    <row r="9" spans="1:8">
      <c r="A9">
        <v>8</v>
      </c>
      <c r="C9" t="s">
        <v>38</v>
      </c>
      <c r="D9" s="17" t="s">
        <v>25</v>
      </c>
      <c r="F9" s="17" t="s">
        <v>25</v>
      </c>
      <c r="H9" t="s">
        <v>26</v>
      </c>
    </row>
    <row r="10" spans="1:8">
      <c r="A10">
        <v>9</v>
      </c>
      <c r="C10" t="s">
        <v>39</v>
      </c>
      <c r="D10" s="17" t="s">
        <v>25</v>
      </c>
      <c r="F10" s="17" t="s">
        <v>25</v>
      </c>
      <c r="H10" t="s">
        <v>26</v>
      </c>
    </row>
    <row r="11" spans="1:8">
      <c r="A11">
        <v>10</v>
      </c>
      <c r="C11" t="s">
        <v>40</v>
      </c>
      <c r="D11" s="31" t="s">
        <v>41</v>
      </c>
      <c r="F11" s="19" t="s">
        <v>22</v>
      </c>
      <c r="G11">
        <v>0.13</v>
      </c>
      <c r="H11" t="s">
        <v>42</v>
      </c>
    </row>
    <row r="12" spans="1:8">
      <c r="A12">
        <v>11</v>
      </c>
      <c r="B12" t="s">
        <v>43</v>
      </c>
      <c r="C12" t="s">
        <v>44</v>
      </c>
      <c r="D12" s="17" t="s">
        <v>25</v>
      </c>
      <c r="F12" s="17" t="s">
        <v>25</v>
      </c>
      <c r="H12" t="s">
        <v>26</v>
      </c>
    </row>
    <row r="13" spans="1:8">
      <c r="A13">
        <v>12</v>
      </c>
      <c r="B13" t="s">
        <v>45</v>
      </c>
      <c r="C13" t="s">
        <v>46</v>
      </c>
      <c r="D13" s="17" t="s">
        <v>25</v>
      </c>
      <c r="F13" s="17" t="s">
        <v>25</v>
      </c>
      <c r="H13" t="s">
        <v>26</v>
      </c>
    </row>
    <row r="14" spans="1:8">
      <c r="A14">
        <v>13</v>
      </c>
      <c r="B14" t="s">
        <v>47</v>
      </c>
      <c r="C14" t="s">
        <v>48</v>
      </c>
      <c r="D14" s="19" t="s">
        <v>22</v>
      </c>
      <c r="E14">
        <v>2429</v>
      </c>
      <c r="F14" s="17" t="s">
        <v>25</v>
      </c>
      <c r="H14" t="s">
        <v>37</v>
      </c>
    </row>
    <row r="15" spans="1:8">
      <c r="A15">
        <v>14</v>
      </c>
      <c r="B15" t="s">
        <v>49</v>
      </c>
      <c r="C15" t="s">
        <v>50</v>
      </c>
      <c r="D15" s="31" t="s">
        <v>41</v>
      </c>
      <c r="F15" s="17" t="s">
        <v>25</v>
      </c>
      <c r="H15" t="s">
        <v>51</v>
      </c>
    </row>
    <row r="16" spans="1:8">
      <c r="A16">
        <v>15</v>
      </c>
      <c r="B16" t="s">
        <v>52</v>
      </c>
      <c r="C16" t="s">
        <v>53</v>
      </c>
      <c r="D16" s="19" t="s">
        <v>22</v>
      </c>
      <c r="E16">
        <v>483</v>
      </c>
      <c r="F16" s="19" t="s">
        <v>22</v>
      </c>
      <c r="G16">
        <v>0.78</v>
      </c>
    </row>
    <row r="17" spans="1:8">
      <c r="A17">
        <v>16</v>
      </c>
      <c r="B17" t="s">
        <v>54</v>
      </c>
      <c r="C17" t="s">
        <v>55</v>
      </c>
      <c r="D17" s="19" t="s">
        <v>22</v>
      </c>
      <c r="E17">
        <v>1333</v>
      </c>
      <c r="F17" s="19" t="s">
        <v>22</v>
      </c>
      <c r="G17">
        <v>4.4400000000000004</v>
      </c>
    </row>
    <row r="18" spans="1:8">
      <c r="A18">
        <v>17</v>
      </c>
      <c r="B18" t="s">
        <v>56</v>
      </c>
      <c r="C18" t="s">
        <v>57</v>
      </c>
      <c r="D18" s="17" t="s">
        <v>25</v>
      </c>
      <c r="F18" s="17" t="s">
        <v>25</v>
      </c>
      <c r="H18" t="s">
        <v>58</v>
      </c>
    </row>
    <row r="19" spans="1:8">
      <c r="A19">
        <v>18</v>
      </c>
      <c r="B19" t="s">
        <v>59</v>
      </c>
      <c r="C19" t="s">
        <v>60</v>
      </c>
      <c r="D19" s="19" t="s">
        <v>22</v>
      </c>
      <c r="E19">
        <v>1343</v>
      </c>
      <c r="F19" s="19" t="s">
        <v>22</v>
      </c>
      <c r="G19">
        <v>1.1399999999999999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2439-67B8-8649-9AD4-2DA0B10A6AF8}">
  <dimension ref="A2:AC76"/>
  <sheetViews>
    <sheetView topLeftCell="A63" zoomScale="80" zoomScaleNormal="80" workbookViewId="0">
      <selection activeCell="C54" sqref="C54"/>
    </sheetView>
  </sheetViews>
  <sheetFormatPr defaultColWidth="11" defaultRowHeight="15.95"/>
  <cols>
    <col min="2" max="2" width="12.375" bestFit="1" customWidth="1"/>
    <col min="3" max="3" width="30" bestFit="1" customWidth="1"/>
    <col min="4" max="4" width="15.625" customWidth="1"/>
  </cols>
  <sheetData>
    <row r="2" spans="1:29">
      <c r="A2" s="14" t="s">
        <v>61</v>
      </c>
      <c r="B2" s="14" t="s">
        <v>62</v>
      </c>
      <c r="C2" s="14" t="s">
        <v>63</v>
      </c>
      <c r="D2" s="15">
        <v>1</v>
      </c>
      <c r="E2" s="15">
        <v>2</v>
      </c>
      <c r="F2" s="15">
        <v>3</v>
      </c>
      <c r="G2" s="15">
        <v>4</v>
      </c>
      <c r="H2" s="15">
        <v>5</v>
      </c>
      <c r="I2" s="15">
        <v>6</v>
      </c>
      <c r="J2" s="15">
        <v>7</v>
      </c>
      <c r="K2" s="15">
        <v>8</v>
      </c>
      <c r="L2" s="15">
        <v>9</v>
      </c>
      <c r="M2" s="15">
        <v>10</v>
      </c>
      <c r="N2" s="15">
        <v>11</v>
      </c>
      <c r="O2" s="15">
        <v>12</v>
      </c>
      <c r="P2" s="15">
        <v>13</v>
      </c>
      <c r="Q2" s="15">
        <v>14</v>
      </c>
      <c r="R2" s="15">
        <v>15</v>
      </c>
      <c r="S2" s="15">
        <v>16</v>
      </c>
      <c r="T2" s="15">
        <v>17</v>
      </c>
      <c r="U2" s="15">
        <v>18</v>
      </c>
      <c r="W2" s="24" t="s">
        <v>64</v>
      </c>
      <c r="X2" s="24" t="s">
        <v>65</v>
      </c>
      <c r="Y2" s="24" t="s">
        <v>66</v>
      </c>
      <c r="AA2" s="26" t="s">
        <v>64</v>
      </c>
      <c r="AB2" s="26" t="s">
        <v>67</v>
      </c>
      <c r="AC2" s="26" t="s">
        <v>66</v>
      </c>
    </row>
    <row r="3" spans="1:29">
      <c r="A3" s="2">
        <v>1</v>
      </c>
      <c r="B3" s="2">
        <v>3</v>
      </c>
      <c r="C3" s="5" t="s">
        <v>68</v>
      </c>
      <c r="D3" s="10">
        <v>0.34</v>
      </c>
      <c r="I3">
        <v>0.01</v>
      </c>
      <c r="J3" s="10"/>
      <c r="M3" s="10">
        <v>0</v>
      </c>
      <c r="P3" s="10"/>
      <c r="Q3" s="20"/>
      <c r="R3" s="20">
        <v>0.02</v>
      </c>
      <c r="S3" s="21">
        <v>0.08</v>
      </c>
      <c r="U3" s="20">
        <v>0.02</v>
      </c>
      <c r="W3" s="25">
        <f>AVERAGE(D3:U3)</f>
        <v>7.8333333333333352E-2</v>
      </c>
      <c r="X3" s="25">
        <f>_xlfn.STDEV.S(D3:U3)</f>
        <v>0.13121229617176383</v>
      </c>
      <c r="Y3">
        <f>COUNT(D3:U3)</f>
        <v>6</v>
      </c>
    </row>
    <row r="4" spans="1:29">
      <c r="A4" s="2">
        <v>2</v>
      </c>
      <c r="B4" s="2">
        <v>6</v>
      </c>
      <c r="C4" s="5" t="s">
        <v>69</v>
      </c>
      <c r="D4" s="10">
        <v>0.39</v>
      </c>
      <c r="I4">
        <v>0.01</v>
      </c>
      <c r="J4" s="10"/>
      <c r="M4" s="10">
        <v>0</v>
      </c>
      <c r="P4" s="10"/>
      <c r="Q4" s="20"/>
      <c r="R4" s="20">
        <v>0.02</v>
      </c>
      <c r="S4" s="22">
        <v>7.0000000000000007E-2</v>
      </c>
      <c r="U4" s="20">
        <v>0.02</v>
      </c>
      <c r="W4" s="25">
        <f t="shared" ref="W4:W52" si="0">AVERAGE(D4:U4)</f>
        <v>8.5000000000000006E-2</v>
      </c>
      <c r="X4" s="25">
        <f t="shared" ref="X4:X52" si="1">_xlfn.STDEV.S(D4:U4)</f>
        <v>0.15136049682793726</v>
      </c>
      <c r="Y4">
        <f t="shared" ref="Y4:Y52" si="2">COUNT(D4:U4)</f>
        <v>6</v>
      </c>
    </row>
    <row r="5" spans="1:29">
      <c r="A5" s="2">
        <v>3</v>
      </c>
      <c r="B5" s="2">
        <v>9</v>
      </c>
      <c r="C5" s="5" t="s">
        <v>69</v>
      </c>
      <c r="D5" s="10">
        <v>0.3</v>
      </c>
      <c r="I5">
        <v>0.01</v>
      </c>
      <c r="J5" s="10"/>
      <c r="M5" s="10">
        <v>0</v>
      </c>
      <c r="P5" s="10"/>
      <c r="Q5" s="20"/>
      <c r="R5" s="20">
        <v>0.02</v>
      </c>
      <c r="S5" s="22">
        <v>0.09</v>
      </c>
      <c r="U5" s="20">
        <v>0.02</v>
      </c>
      <c r="W5" s="25">
        <f t="shared" si="0"/>
        <v>7.3333333333333348E-2</v>
      </c>
      <c r="X5" s="25">
        <f t="shared" si="1"/>
        <v>0.11552777443829974</v>
      </c>
      <c r="Y5">
        <f t="shared" si="2"/>
        <v>6</v>
      </c>
    </row>
    <row r="6" spans="1:29">
      <c r="A6" s="3">
        <v>4</v>
      </c>
      <c r="B6" s="3">
        <v>12</v>
      </c>
      <c r="C6" s="6" t="s">
        <v>70</v>
      </c>
      <c r="D6" s="11">
        <v>0.32</v>
      </c>
      <c r="E6" s="11"/>
      <c r="F6" s="11"/>
      <c r="G6" s="11"/>
      <c r="H6" s="11"/>
      <c r="I6" s="11">
        <v>0.01</v>
      </c>
      <c r="J6" s="11"/>
      <c r="K6" s="11"/>
      <c r="L6" s="11"/>
      <c r="M6" s="11">
        <v>0.01</v>
      </c>
      <c r="N6" s="11"/>
      <c r="O6" s="11"/>
      <c r="P6" s="11"/>
      <c r="Q6" s="11"/>
      <c r="R6" s="11">
        <v>0.02</v>
      </c>
      <c r="S6" s="11">
        <v>0.06</v>
      </c>
      <c r="T6" s="11"/>
      <c r="U6" s="11">
        <v>0.02</v>
      </c>
      <c r="W6" s="25">
        <f t="shared" si="0"/>
        <v>7.3333333333333348E-2</v>
      </c>
      <c r="X6" s="25">
        <f t="shared" si="1"/>
        <v>0.12225656083281039</v>
      </c>
      <c r="Y6">
        <f t="shared" si="2"/>
        <v>6</v>
      </c>
    </row>
    <row r="7" spans="1:29">
      <c r="A7" s="3">
        <v>5</v>
      </c>
      <c r="B7" s="3">
        <v>15</v>
      </c>
      <c r="C7" s="6" t="s">
        <v>70</v>
      </c>
      <c r="D7" s="11">
        <v>0.35</v>
      </c>
      <c r="E7" s="11"/>
      <c r="F7" s="11"/>
      <c r="G7" s="11"/>
      <c r="H7" s="11"/>
      <c r="I7" s="11">
        <v>0.01</v>
      </c>
      <c r="J7" s="11"/>
      <c r="K7" s="11"/>
      <c r="L7" s="11"/>
      <c r="M7" s="11">
        <v>0.01</v>
      </c>
      <c r="N7" s="11"/>
      <c r="O7" s="11"/>
      <c r="P7" s="11"/>
      <c r="Q7" s="11"/>
      <c r="R7" s="11">
        <v>0.02</v>
      </c>
      <c r="S7" s="11">
        <v>0.08</v>
      </c>
      <c r="T7" s="11"/>
      <c r="U7" s="11">
        <v>0.02</v>
      </c>
      <c r="W7" s="25">
        <f t="shared" si="0"/>
        <v>8.1666666666666679E-2</v>
      </c>
      <c r="X7" s="25">
        <f t="shared" si="1"/>
        <v>0.13407709225168429</v>
      </c>
      <c r="Y7">
        <f t="shared" si="2"/>
        <v>6</v>
      </c>
    </row>
    <row r="8" spans="1:29">
      <c r="A8" s="3">
        <v>6</v>
      </c>
      <c r="B8" s="3">
        <v>18</v>
      </c>
      <c r="C8" s="6" t="s">
        <v>70</v>
      </c>
      <c r="D8" s="11">
        <v>0.54</v>
      </c>
      <c r="E8" s="11"/>
      <c r="F8" s="11"/>
      <c r="G8" s="11"/>
      <c r="H8" s="11"/>
      <c r="I8" s="11">
        <v>0.01</v>
      </c>
      <c r="J8" s="11"/>
      <c r="K8" s="11"/>
      <c r="L8" s="11"/>
      <c r="M8" s="11">
        <v>0</v>
      </c>
      <c r="N8" s="11"/>
      <c r="O8" s="11"/>
      <c r="P8" s="11"/>
      <c r="Q8" s="11"/>
      <c r="R8" s="11">
        <v>0.06</v>
      </c>
      <c r="S8" s="11">
        <v>0.28999999999999998</v>
      </c>
      <c r="T8" s="11"/>
      <c r="U8" s="11">
        <v>0.08</v>
      </c>
      <c r="W8" s="25">
        <f t="shared" si="0"/>
        <v>0.16333333333333336</v>
      </c>
      <c r="X8" s="25">
        <f t="shared" si="1"/>
        <v>0.21247744978389277</v>
      </c>
      <c r="Y8">
        <f t="shared" si="2"/>
        <v>6</v>
      </c>
    </row>
    <row r="9" spans="1:29">
      <c r="A9" s="3">
        <v>7</v>
      </c>
      <c r="B9" s="3">
        <v>21</v>
      </c>
      <c r="C9" s="6" t="s">
        <v>70</v>
      </c>
      <c r="D9" s="11">
        <v>0.55000000000000004</v>
      </c>
      <c r="E9" s="11"/>
      <c r="F9" s="11"/>
      <c r="G9" s="11"/>
      <c r="H9" s="11"/>
      <c r="I9" s="11">
        <v>0.01</v>
      </c>
      <c r="J9" s="11"/>
      <c r="K9" s="11"/>
      <c r="L9" s="11"/>
      <c r="M9" s="11">
        <v>0.03</v>
      </c>
      <c r="N9" s="11"/>
      <c r="O9" s="11"/>
      <c r="P9" s="11"/>
      <c r="Q9" s="11"/>
      <c r="R9" s="11">
        <v>0.05</v>
      </c>
      <c r="S9" s="11">
        <v>0.23</v>
      </c>
      <c r="T9" s="11"/>
      <c r="U9" s="11">
        <v>0.03</v>
      </c>
      <c r="W9" s="25">
        <f t="shared" si="0"/>
        <v>0.15000000000000002</v>
      </c>
      <c r="X9" s="25">
        <f t="shared" si="1"/>
        <v>0.21203773249117716</v>
      </c>
      <c r="Y9">
        <f t="shared" si="2"/>
        <v>6</v>
      </c>
    </row>
    <row r="10" spans="1:29">
      <c r="A10" s="3">
        <v>8</v>
      </c>
      <c r="B10" s="3">
        <v>24</v>
      </c>
      <c r="C10" s="6" t="s">
        <v>70</v>
      </c>
      <c r="D10" s="11">
        <v>0.56999999999999995</v>
      </c>
      <c r="E10" s="11"/>
      <c r="F10" s="11"/>
      <c r="G10" s="11"/>
      <c r="H10" s="11"/>
      <c r="I10" s="11">
        <v>0.01</v>
      </c>
      <c r="J10" s="11"/>
      <c r="K10" s="11"/>
      <c r="L10" s="11"/>
      <c r="M10" s="11">
        <v>0.02</v>
      </c>
      <c r="N10" s="11"/>
      <c r="O10" s="11"/>
      <c r="P10" s="11"/>
      <c r="Q10" s="11"/>
      <c r="R10" s="11">
        <v>0.05</v>
      </c>
      <c r="S10" s="11">
        <v>0.19</v>
      </c>
      <c r="T10" s="11"/>
      <c r="U10" s="11">
        <v>0.03</v>
      </c>
      <c r="W10" s="25">
        <f t="shared" si="0"/>
        <v>0.14500000000000002</v>
      </c>
      <c r="X10" s="25">
        <f t="shared" si="1"/>
        <v>0.21851773383412157</v>
      </c>
      <c r="Y10">
        <f t="shared" si="2"/>
        <v>6</v>
      </c>
    </row>
    <row r="11" spans="1:29">
      <c r="A11" s="3">
        <v>9</v>
      </c>
      <c r="B11" s="3">
        <v>27</v>
      </c>
      <c r="C11" s="6" t="s">
        <v>70</v>
      </c>
      <c r="D11" s="11">
        <v>0.54</v>
      </c>
      <c r="E11" s="11"/>
      <c r="F11" s="11"/>
      <c r="G11" s="11"/>
      <c r="H11" s="11"/>
      <c r="I11" s="11">
        <v>0.01</v>
      </c>
      <c r="J11" s="11"/>
      <c r="K11" s="11"/>
      <c r="L11" s="11"/>
      <c r="M11" s="11">
        <v>0.02</v>
      </c>
      <c r="N11" s="11"/>
      <c r="O11" s="11"/>
      <c r="P11" s="11"/>
      <c r="Q11" s="11"/>
      <c r="R11" s="11">
        <v>0.06</v>
      </c>
      <c r="S11" s="11">
        <v>0.19</v>
      </c>
      <c r="T11" s="11"/>
      <c r="U11" s="11">
        <v>0.05</v>
      </c>
      <c r="W11" s="25">
        <f t="shared" si="0"/>
        <v>0.14500000000000002</v>
      </c>
      <c r="X11" s="25">
        <f t="shared" si="1"/>
        <v>0.20403431084011336</v>
      </c>
      <c r="Y11">
        <f t="shared" si="2"/>
        <v>6</v>
      </c>
    </row>
    <row r="12" spans="1:29">
      <c r="A12" s="3">
        <v>10</v>
      </c>
      <c r="B12" s="3">
        <v>30</v>
      </c>
      <c r="C12" s="6" t="s">
        <v>70</v>
      </c>
      <c r="D12" s="11">
        <v>0.55000000000000004</v>
      </c>
      <c r="E12" s="11"/>
      <c r="F12" s="11"/>
      <c r="G12" s="11"/>
      <c r="H12" s="11"/>
      <c r="I12" s="11">
        <v>0.01</v>
      </c>
      <c r="J12" s="11"/>
      <c r="K12" s="11"/>
      <c r="L12" s="11"/>
      <c r="M12" s="11">
        <v>0.01</v>
      </c>
      <c r="N12" s="11"/>
      <c r="O12" s="11"/>
      <c r="P12" s="11"/>
      <c r="Q12" s="11"/>
      <c r="R12" s="11">
        <v>0.05</v>
      </c>
      <c r="S12" s="11">
        <v>0.19</v>
      </c>
      <c r="T12" s="11"/>
      <c r="U12" s="11">
        <v>0.03</v>
      </c>
      <c r="W12" s="25">
        <f t="shared" si="0"/>
        <v>0.14000000000000001</v>
      </c>
      <c r="X12" s="25">
        <f t="shared" si="1"/>
        <v>0.21194338866782328</v>
      </c>
      <c r="Y12">
        <f t="shared" si="2"/>
        <v>6</v>
      </c>
    </row>
    <row r="13" spans="1:29">
      <c r="A13" s="3">
        <v>11</v>
      </c>
      <c r="B13" s="3">
        <v>33</v>
      </c>
      <c r="C13" s="6" t="s">
        <v>70</v>
      </c>
      <c r="D13" s="11">
        <v>0.53</v>
      </c>
      <c r="E13" s="11"/>
      <c r="F13" s="11"/>
      <c r="G13" s="11"/>
      <c r="H13" s="11"/>
      <c r="I13" s="11">
        <v>0.01</v>
      </c>
      <c r="J13" s="11"/>
      <c r="K13" s="11"/>
      <c r="L13" s="11"/>
      <c r="M13" s="11">
        <v>0</v>
      </c>
      <c r="N13" s="11"/>
      <c r="O13" s="11"/>
      <c r="P13" s="11"/>
      <c r="Q13" s="11"/>
      <c r="R13" s="11">
        <v>0.06</v>
      </c>
      <c r="S13" s="11">
        <v>0.18</v>
      </c>
      <c r="T13" s="11"/>
      <c r="U13" s="11">
        <v>0.04</v>
      </c>
      <c r="W13" s="25">
        <f t="shared" si="0"/>
        <v>0.13666666666666669</v>
      </c>
      <c r="X13" s="25">
        <f t="shared" si="1"/>
        <v>0.20324041592819736</v>
      </c>
      <c r="Y13">
        <f t="shared" si="2"/>
        <v>6</v>
      </c>
    </row>
    <row r="14" spans="1:29">
      <c r="A14" s="3">
        <v>12</v>
      </c>
      <c r="B14" s="3">
        <v>36</v>
      </c>
      <c r="C14" s="6" t="s">
        <v>70</v>
      </c>
      <c r="D14" s="11">
        <v>0.63</v>
      </c>
      <c r="E14" s="11"/>
      <c r="F14" s="11"/>
      <c r="G14" s="11"/>
      <c r="H14" s="11"/>
      <c r="I14" s="11">
        <v>0.01</v>
      </c>
      <c r="J14" s="11"/>
      <c r="K14" s="11"/>
      <c r="L14" s="11"/>
      <c r="M14" s="11">
        <v>0.01</v>
      </c>
      <c r="N14" s="11"/>
      <c r="O14" s="11"/>
      <c r="P14" s="11"/>
      <c r="Q14" s="11"/>
      <c r="R14" s="11">
        <v>0.05</v>
      </c>
      <c r="S14" s="11">
        <v>0.18</v>
      </c>
      <c r="T14" s="11"/>
      <c r="U14" s="11">
        <v>0.04</v>
      </c>
      <c r="W14" s="25">
        <f t="shared" si="0"/>
        <v>0.15333333333333335</v>
      </c>
      <c r="X14" s="25">
        <f t="shared" si="1"/>
        <v>0.24188151369351621</v>
      </c>
      <c r="Y14">
        <f t="shared" si="2"/>
        <v>6</v>
      </c>
    </row>
    <row r="15" spans="1:29">
      <c r="A15" s="3">
        <v>13</v>
      </c>
      <c r="B15" s="3">
        <v>39</v>
      </c>
      <c r="C15" s="6" t="s">
        <v>70</v>
      </c>
      <c r="D15" s="11">
        <v>0.54</v>
      </c>
      <c r="E15" s="11"/>
      <c r="F15" s="11"/>
      <c r="G15" s="11"/>
      <c r="H15" s="11"/>
      <c r="I15" s="11">
        <v>0.01</v>
      </c>
      <c r="J15" s="11"/>
      <c r="K15" s="11"/>
      <c r="L15" s="11"/>
      <c r="M15" s="11">
        <v>0.01</v>
      </c>
      <c r="N15" s="11"/>
      <c r="O15" s="11"/>
      <c r="P15" s="11"/>
      <c r="Q15" s="11"/>
      <c r="R15" s="11">
        <v>0.06</v>
      </c>
      <c r="S15" s="11">
        <v>0.19</v>
      </c>
      <c r="T15" s="11"/>
      <c r="U15" s="11">
        <v>0.03</v>
      </c>
      <c r="W15" s="25">
        <f t="shared" si="0"/>
        <v>0.14000000000000001</v>
      </c>
      <c r="X15" s="25">
        <f t="shared" si="1"/>
        <v>0.20726794252850583</v>
      </c>
      <c r="Y15">
        <f t="shared" si="2"/>
        <v>6</v>
      </c>
    </row>
    <row r="16" spans="1:29">
      <c r="A16" s="2">
        <v>14</v>
      </c>
      <c r="B16" s="2">
        <v>42</v>
      </c>
      <c r="C16" s="5" t="s">
        <v>69</v>
      </c>
      <c r="D16" s="10">
        <v>0.59</v>
      </c>
      <c r="I16">
        <v>0.01</v>
      </c>
      <c r="J16" s="10"/>
      <c r="M16" s="10">
        <v>0.01</v>
      </c>
      <c r="P16" s="10"/>
      <c r="Q16" s="20"/>
      <c r="R16" s="20">
        <v>0.05</v>
      </c>
      <c r="S16" s="22">
        <v>0.19</v>
      </c>
      <c r="U16" s="20">
        <v>0.04</v>
      </c>
      <c r="W16" s="25">
        <f t="shared" si="0"/>
        <v>0.14833333333333334</v>
      </c>
      <c r="X16" s="25">
        <f t="shared" si="1"/>
        <v>0.22648767442548978</v>
      </c>
      <c r="Y16">
        <f t="shared" si="2"/>
        <v>6</v>
      </c>
    </row>
    <row r="17" spans="1:25">
      <c r="A17" s="2">
        <v>15</v>
      </c>
      <c r="B17" s="2">
        <v>45</v>
      </c>
      <c r="C17" s="5" t="s">
        <v>69</v>
      </c>
      <c r="D17" s="10">
        <v>0.56999999999999995</v>
      </c>
      <c r="I17">
        <v>0.01</v>
      </c>
      <c r="J17" s="10"/>
      <c r="M17" s="10">
        <v>0.01</v>
      </c>
      <c r="P17" s="10"/>
      <c r="Q17" s="20"/>
      <c r="R17" s="20">
        <v>0.05</v>
      </c>
      <c r="S17" s="22">
        <v>0.2</v>
      </c>
      <c r="U17" s="20">
        <v>0.04</v>
      </c>
      <c r="W17" s="25">
        <f t="shared" si="0"/>
        <v>0.1466666666666667</v>
      </c>
      <c r="X17" s="25">
        <f t="shared" si="1"/>
        <v>0.21914987261384991</v>
      </c>
      <c r="Y17">
        <f t="shared" si="2"/>
        <v>6</v>
      </c>
    </row>
    <row r="18" spans="1:25">
      <c r="A18" s="2">
        <v>16</v>
      </c>
      <c r="B18" s="2">
        <v>48</v>
      </c>
      <c r="C18" s="5" t="s">
        <v>69</v>
      </c>
      <c r="D18" s="10">
        <v>0.62</v>
      </c>
      <c r="I18">
        <v>0.01</v>
      </c>
      <c r="J18" s="10"/>
      <c r="M18" s="10">
        <v>0.01</v>
      </c>
      <c r="P18" s="10"/>
      <c r="Q18" s="20"/>
      <c r="R18" s="20">
        <v>0.05</v>
      </c>
      <c r="S18" s="22">
        <v>0.17</v>
      </c>
      <c r="U18" s="20">
        <v>0.05</v>
      </c>
      <c r="W18" s="25">
        <f t="shared" si="0"/>
        <v>0.1516666666666667</v>
      </c>
      <c r="X18" s="25">
        <f t="shared" si="1"/>
        <v>0.23684734886982936</v>
      </c>
      <c r="Y18">
        <f t="shared" si="2"/>
        <v>6</v>
      </c>
    </row>
    <row r="19" spans="1:25">
      <c r="A19" s="2">
        <v>17</v>
      </c>
      <c r="B19" s="2">
        <v>51</v>
      </c>
      <c r="C19" s="5" t="s">
        <v>69</v>
      </c>
      <c r="D19" s="10">
        <v>0.48</v>
      </c>
      <c r="I19">
        <v>0.01</v>
      </c>
      <c r="J19" s="10"/>
      <c r="M19" s="10">
        <v>0.01</v>
      </c>
      <c r="P19" s="10"/>
      <c r="Q19" s="20"/>
      <c r="R19" s="20">
        <v>0.04</v>
      </c>
      <c r="S19" s="22">
        <v>0.14000000000000001</v>
      </c>
      <c r="U19" s="20">
        <v>0.04</v>
      </c>
      <c r="W19" s="25">
        <f t="shared" si="0"/>
        <v>0.12000000000000001</v>
      </c>
      <c r="X19" s="25">
        <f t="shared" si="1"/>
        <v>0.1827566688249706</v>
      </c>
      <c r="Y19">
        <f t="shared" si="2"/>
        <v>6</v>
      </c>
    </row>
    <row r="20" spans="1:25">
      <c r="A20" s="2">
        <v>18</v>
      </c>
      <c r="B20" s="2">
        <v>54</v>
      </c>
      <c r="C20" s="5" t="s">
        <v>69</v>
      </c>
      <c r="D20" s="10">
        <v>0.42</v>
      </c>
      <c r="I20">
        <v>0.01</v>
      </c>
      <c r="J20" s="10"/>
      <c r="M20" s="10">
        <v>0.01</v>
      </c>
      <c r="P20" s="10"/>
      <c r="Q20" s="20"/>
      <c r="R20" s="20">
        <v>0.03</v>
      </c>
      <c r="S20" s="22">
        <v>0.11</v>
      </c>
      <c r="U20" s="20">
        <v>0.02</v>
      </c>
      <c r="W20" s="25">
        <f t="shared" si="0"/>
        <v>9.9999999999999992E-2</v>
      </c>
      <c r="X20" s="25">
        <f t="shared" si="1"/>
        <v>0.16124515496597097</v>
      </c>
      <c r="Y20">
        <f t="shared" si="2"/>
        <v>6</v>
      </c>
    </row>
    <row r="21" spans="1:25">
      <c r="A21" s="2">
        <v>19</v>
      </c>
      <c r="B21" s="2">
        <v>57</v>
      </c>
      <c r="C21" s="5" t="s">
        <v>69</v>
      </c>
      <c r="D21" s="10">
        <v>0.39</v>
      </c>
      <c r="I21">
        <v>0.01</v>
      </c>
      <c r="J21" s="10"/>
      <c r="M21" s="10">
        <v>0.01</v>
      </c>
      <c r="P21" s="10"/>
      <c r="Q21" s="20"/>
      <c r="R21" s="20">
        <v>0.02</v>
      </c>
      <c r="S21" s="22">
        <v>0.08</v>
      </c>
      <c r="U21" s="20">
        <v>0.02</v>
      </c>
      <c r="W21" s="25">
        <f t="shared" si="0"/>
        <v>8.8333333333333333E-2</v>
      </c>
      <c r="X21" s="25">
        <f t="shared" si="1"/>
        <v>0.15012217246851534</v>
      </c>
      <c r="Y21">
        <f t="shared" si="2"/>
        <v>6</v>
      </c>
    </row>
    <row r="22" spans="1:25">
      <c r="A22" s="2">
        <v>20</v>
      </c>
      <c r="B22" s="2">
        <v>60</v>
      </c>
      <c r="C22" s="5" t="s">
        <v>69</v>
      </c>
      <c r="D22" s="10">
        <v>0.35</v>
      </c>
      <c r="I22">
        <v>0.01</v>
      </c>
      <c r="J22" s="10"/>
      <c r="M22" s="10">
        <v>0.01</v>
      </c>
      <c r="P22" s="10"/>
      <c r="Q22" s="20"/>
      <c r="R22" s="20">
        <v>0.02</v>
      </c>
      <c r="S22" s="22">
        <v>7.0000000000000007E-2</v>
      </c>
      <c r="U22" s="20">
        <v>0.02</v>
      </c>
      <c r="W22" s="25">
        <f t="shared" si="0"/>
        <v>0.08</v>
      </c>
      <c r="X22" s="25">
        <f t="shared" si="1"/>
        <v>0.13416407864998736</v>
      </c>
      <c r="Y22">
        <f t="shared" si="2"/>
        <v>6</v>
      </c>
    </row>
    <row r="23" spans="1:25">
      <c r="A23" s="3">
        <v>21</v>
      </c>
      <c r="B23" s="3">
        <v>63</v>
      </c>
      <c r="C23" s="6" t="s">
        <v>71</v>
      </c>
      <c r="D23" s="11">
        <v>0.28000000000000003</v>
      </c>
      <c r="E23" s="11"/>
      <c r="F23" s="11"/>
      <c r="G23" s="11"/>
      <c r="H23" s="11"/>
      <c r="I23" s="11">
        <v>0.01</v>
      </c>
      <c r="J23" s="11"/>
      <c r="K23" s="11"/>
      <c r="L23" s="11"/>
      <c r="M23" s="11">
        <v>0.01</v>
      </c>
      <c r="N23" s="11"/>
      <c r="O23" s="11"/>
      <c r="P23" s="11"/>
      <c r="Q23" s="11"/>
      <c r="R23" s="11">
        <v>0.03</v>
      </c>
      <c r="S23" s="11">
        <v>0.09</v>
      </c>
      <c r="T23" s="11"/>
      <c r="U23" s="11">
        <v>0.02</v>
      </c>
      <c r="W23" s="25">
        <f t="shared" si="0"/>
        <v>7.3333333333333348E-2</v>
      </c>
      <c r="X23" s="25">
        <f t="shared" si="1"/>
        <v>0.10557777543908882</v>
      </c>
      <c r="Y23">
        <f t="shared" si="2"/>
        <v>6</v>
      </c>
    </row>
    <row r="24" spans="1:25">
      <c r="A24" s="3">
        <v>22</v>
      </c>
      <c r="B24" s="3">
        <v>66</v>
      </c>
      <c r="C24" s="6" t="s">
        <v>71</v>
      </c>
      <c r="D24" s="11">
        <v>0.62</v>
      </c>
      <c r="E24" s="11"/>
      <c r="F24" s="11"/>
      <c r="G24" s="11"/>
      <c r="H24" s="11"/>
      <c r="I24" s="11">
        <v>0.01</v>
      </c>
      <c r="J24" s="11"/>
      <c r="K24" s="11"/>
      <c r="L24" s="11"/>
      <c r="M24" s="11">
        <v>0.01</v>
      </c>
      <c r="N24" s="11"/>
      <c r="O24" s="11"/>
      <c r="P24" s="11"/>
      <c r="Q24" s="11"/>
      <c r="R24" s="11">
        <v>0.03</v>
      </c>
      <c r="S24" s="11">
        <v>0.08</v>
      </c>
      <c r="T24" s="11"/>
      <c r="U24" s="11">
        <v>0.02</v>
      </c>
      <c r="W24" s="25">
        <f t="shared" si="0"/>
        <v>0.12833333333333333</v>
      </c>
      <c r="X24" s="25">
        <f t="shared" si="1"/>
        <v>0.24227394962452459</v>
      </c>
      <c r="Y24">
        <f t="shared" si="2"/>
        <v>6</v>
      </c>
    </row>
    <row r="25" spans="1:25">
      <c r="A25" s="3">
        <v>23</v>
      </c>
      <c r="B25" s="3">
        <v>69</v>
      </c>
      <c r="C25" s="6" t="s">
        <v>71</v>
      </c>
      <c r="D25" s="11">
        <v>1.39</v>
      </c>
      <c r="E25" s="11"/>
      <c r="F25" s="11"/>
      <c r="G25" s="11"/>
      <c r="H25" s="11"/>
      <c r="I25" s="11">
        <v>0.02</v>
      </c>
      <c r="J25" s="11"/>
      <c r="K25" s="11"/>
      <c r="L25" s="11"/>
      <c r="M25" s="11">
        <v>0.02</v>
      </c>
      <c r="N25" s="11"/>
      <c r="O25" s="11"/>
      <c r="P25" s="11"/>
      <c r="Q25" s="11"/>
      <c r="R25" s="11">
        <v>0.09</v>
      </c>
      <c r="S25" s="11">
        <v>0.53</v>
      </c>
      <c r="T25" s="11"/>
      <c r="U25" s="11">
        <v>0.11</v>
      </c>
      <c r="W25" s="25">
        <f t="shared" si="0"/>
        <v>0.35999999999999993</v>
      </c>
      <c r="X25" s="25">
        <f t="shared" si="1"/>
        <v>0.53970362237064895</v>
      </c>
      <c r="Y25">
        <f t="shared" si="2"/>
        <v>6</v>
      </c>
    </row>
    <row r="26" spans="1:25">
      <c r="A26" s="2">
        <v>24</v>
      </c>
      <c r="B26" s="2">
        <v>72</v>
      </c>
      <c r="C26" s="5" t="s">
        <v>69</v>
      </c>
      <c r="D26" s="10">
        <v>1.59</v>
      </c>
      <c r="I26">
        <v>0.02</v>
      </c>
      <c r="J26" s="10"/>
      <c r="M26" s="10">
        <v>0.03</v>
      </c>
      <c r="P26" s="10"/>
      <c r="Q26" s="20"/>
      <c r="R26" s="20">
        <v>0.11</v>
      </c>
      <c r="S26" s="22">
        <v>0.5</v>
      </c>
      <c r="U26" s="20">
        <v>0.09</v>
      </c>
      <c r="W26" s="25">
        <f t="shared" si="0"/>
        <v>0.38999999999999996</v>
      </c>
      <c r="X26" s="25">
        <f t="shared" si="1"/>
        <v>0.61432890213630686</v>
      </c>
      <c r="Y26">
        <f t="shared" si="2"/>
        <v>6</v>
      </c>
    </row>
    <row r="27" spans="1:25">
      <c r="A27" s="2">
        <v>25</v>
      </c>
      <c r="B27" s="2">
        <v>75</v>
      </c>
      <c r="C27" s="5" t="s">
        <v>69</v>
      </c>
      <c r="D27" s="10">
        <v>1.31</v>
      </c>
      <c r="I27">
        <v>0.02</v>
      </c>
      <c r="J27" s="10"/>
      <c r="M27" s="10">
        <v>0.02</v>
      </c>
      <c r="P27" s="10"/>
      <c r="Q27" s="20"/>
      <c r="R27" s="20">
        <v>0.11</v>
      </c>
      <c r="S27" s="22">
        <v>0.44</v>
      </c>
      <c r="U27" s="20">
        <v>0.09</v>
      </c>
      <c r="W27" s="25">
        <f t="shared" si="0"/>
        <v>0.33166666666666672</v>
      </c>
      <c r="X27" s="25">
        <f t="shared" si="1"/>
        <v>0.50411969478157337</v>
      </c>
      <c r="Y27">
        <f t="shared" si="2"/>
        <v>6</v>
      </c>
    </row>
    <row r="28" spans="1:25">
      <c r="A28" s="2">
        <v>26</v>
      </c>
      <c r="B28" s="2">
        <v>78</v>
      </c>
      <c r="C28" s="5" t="s">
        <v>69</v>
      </c>
      <c r="D28" s="10">
        <v>0.98</v>
      </c>
      <c r="I28">
        <v>0.01</v>
      </c>
      <c r="J28" s="10"/>
      <c r="M28" s="10">
        <v>0.01</v>
      </c>
      <c r="P28" s="10"/>
      <c r="Q28" s="20"/>
      <c r="R28" s="20">
        <v>7.0000000000000007E-2</v>
      </c>
      <c r="S28" s="22">
        <v>0.28999999999999998</v>
      </c>
      <c r="U28" s="20">
        <v>7.0000000000000007E-2</v>
      </c>
      <c r="W28" s="25">
        <f t="shared" si="0"/>
        <v>0.23833333333333337</v>
      </c>
      <c r="X28" s="25">
        <f t="shared" si="1"/>
        <v>0.37780506437403216</v>
      </c>
      <c r="Y28">
        <f t="shared" si="2"/>
        <v>6</v>
      </c>
    </row>
    <row r="29" spans="1:25">
      <c r="A29" s="2">
        <v>27</v>
      </c>
      <c r="B29" s="2">
        <v>81</v>
      </c>
      <c r="C29" s="5" t="s">
        <v>69</v>
      </c>
      <c r="D29" s="10">
        <v>0.57999999999999996</v>
      </c>
      <c r="I29">
        <v>0.01</v>
      </c>
      <c r="J29" s="10"/>
      <c r="M29" s="10">
        <v>0.02</v>
      </c>
      <c r="P29" s="10"/>
      <c r="Q29" s="20"/>
      <c r="R29" s="20">
        <v>0.04</v>
      </c>
      <c r="S29" s="22">
        <v>0.12</v>
      </c>
      <c r="U29" s="20">
        <v>0.01</v>
      </c>
      <c r="W29" s="25">
        <f t="shared" si="0"/>
        <v>0.13</v>
      </c>
      <c r="X29" s="25">
        <f t="shared" si="1"/>
        <v>0.22432119828495922</v>
      </c>
      <c r="Y29">
        <f t="shared" si="2"/>
        <v>6</v>
      </c>
    </row>
    <row r="30" spans="1:25">
      <c r="A30" s="2">
        <v>28</v>
      </c>
      <c r="B30" s="2">
        <v>84</v>
      </c>
      <c r="C30" s="5" t="s">
        <v>69</v>
      </c>
      <c r="D30" s="10">
        <v>0.45</v>
      </c>
      <c r="I30">
        <v>0.01</v>
      </c>
      <c r="J30" s="10"/>
      <c r="M30" s="10">
        <v>0.01</v>
      </c>
      <c r="P30" s="10"/>
      <c r="Q30" s="20"/>
      <c r="R30" s="20">
        <v>0.03</v>
      </c>
      <c r="S30" s="22">
        <v>0.05</v>
      </c>
      <c r="U30" s="20">
        <v>0.02</v>
      </c>
      <c r="W30" s="25">
        <f t="shared" si="0"/>
        <v>9.5000000000000015E-2</v>
      </c>
      <c r="X30" s="25">
        <f t="shared" si="1"/>
        <v>0.17455658108475888</v>
      </c>
      <c r="Y30">
        <f t="shared" si="2"/>
        <v>6</v>
      </c>
    </row>
    <row r="31" spans="1:25">
      <c r="A31" s="2">
        <v>29</v>
      </c>
      <c r="B31" s="2">
        <v>87</v>
      </c>
      <c r="C31" s="5" t="s">
        <v>69</v>
      </c>
      <c r="D31" s="10">
        <v>0.37</v>
      </c>
      <c r="I31">
        <v>0.01</v>
      </c>
      <c r="J31" s="10"/>
      <c r="M31" s="10">
        <v>0.01</v>
      </c>
      <c r="P31" s="10"/>
      <c r="Q31" s="20"/>
      <c r="R31" s="20">
        <v>0.02</v>
      </c>
      <c r="S31" s="22">
        <v>0.08</v>
      </c>
      <c r="U31" s="20">
        <v>0.02</v>
      </c>
      <c r="W31" s="25">
        <f t="shared" si="0"/>
        <v>8.5000000000000006E-2</v>
      </c>
      <c r="X31" s="25">
        <f t="shared" si="1"/>
        <v>0.14209151980325918</v>
      </c>
      <c r="Y31">
        <f t="shared" si="2"/>
        <v>6</v>
      </c>
    </row>
    <row r="32" spans="1:25">
      <c r="A32" s="2">
        <v>30</v>
      </c>
      <c r="B32" s="2">
        <v>90</v>
      </c>
      <c r="C32" s="5" t="s">
        <v>69</v>
      </c>
      <c r="D32" s="10">
        <v>0.34</v>
      </c>
      <c r="I32">
        <v>0.01</v>
      </c>
      <c r="J32" s="10"/>
      <c r="M32" s="10">
        <v>0.01</v>
      </c>
      <c r="P32" s="10"/>
      <c r="Q32" s="20"/>
      <c r="R32" s="20">
        <v>0.03</v>
      </c>
      <c r="S32" s="22">
        <v>0.06</v>
      </c>
      <c r="U32" s="20">
        <v>0.02</v>
      </c>
      <c r="W32" s="25">
        <f t="shared" si="0"/>
        <v>7.8333333333333338E-2</v>
      </c>
      <c r="X32" s="25">
        <f t="shared" si="1"/>
        <v>0.12952477240538457</v>
      </c>
      <c r="Y32">
        <f t="shared" si="2"/>
        <v>6</v>
      </c>
    </row>
    <row r="33" spans="1:25">
      <c r="A33" s="3">
        <v>31</v>
      </c>
      <c r="B33" s="3">
        <v>93</v>
      </c>
      <c r="C33" s="6" t="s">
        <v>72</v>
      </c>
      <c r="D33" s="11">
        <v>0.31</v>
      </c>
      <c r="E33" s="11"/>
      <c r="F33" s="11"/>
      <c r="G33" s="11"/>
      <c r="H33" s="11"/>
      <c r="I33" s="11">
        <v>0.01</v>
      </c>
      <c r="J33" s="11"/>
      <c r="K33" s="11"/>
      <c r="L33" s="11"/>
      <c r="M33" s="12">
        <v>0.01</v>
      </c>
      <c r="N33" s="11"/>
      <c r="O33" s="11"/>
      <c r="P33" s="11"/>
      <c r="Q33" s="11"/>
      <c r="R33" s="11">
        <v>0.02</v>
      </c>
      <c r="S33" s="11">
        <v>0.05</v>
      </c>
      <c r="T33" s="11"/>
      <c r="U33" s="11">
        <v>0.02</v>
      </c>
      <c r="W33" s="25">
        <f t="shared" si="0"/>
        <v>7.0000000000000007E-2</v>
      </c>
      <c r="X33" s="25">
        <f t="shared" si="1"/>
        <v>0.118490505948789</v>
      </c>
      <c r="Y33">
        <f t="shared" si="2"/>
        <v>6</v>
      </c>
    </row>
    <row r="34" spans="1:25">
      <c r="A34" s="3">
        <v>32</v>
      </c>
      <c r="B34" s="3">
        <v>96</v>
      </c>
      <c r="C34" s="6" t="s">
        <v>72</v>
      </c>
      <c r="D34" s="11">
        <v>0.27</v>
      </c>
      <c r="E34" s="11"/>
      <c r="F34" s="11"/>
      <c r="G34" s="11"/>
      <c r="H34" s="11"/>
      <c r="I34" s="11">
        <v>0</v>
      </c>
      <c r="J34" s="11"/>
      <c r="K34" s="11"/>
      <c r="L34" s="11"/>
      <c r="M34" s="12">
        <v>0.01</v>
      </c>
      <c r="N34" s="11"/>
      <c r="O34" s="11"/>
      <c r="P34" s="11"/>
      <c r="Q34" s="11"/>
      <c r="R34" s="11">
        <v>0.02</v>
      </c>
      <c r="S34" s="11">
        <v>0.03</v>
      </c>
      <c r="T34" s="11"/>
      <c r="U34" s="11">
        <v>7.0000000000000007E-2</v>
      </c>
      <c r="W34" s="25">
        <f t="shared" si="0"/>
        <v>6.666666666666668E-2</v>
      </c>
      <c r="X34" s="25">
        <f t="shared" si="1"/>
        <v>0.10250203250017371</v>
      </c>
      <c r="Y34">
        <f t="shared" si="2"/>
        <v>6</v>
      </c>
    </row>
    <row r="35" spans="1:25">
      <c r="A35" s="3">
        <v>33</v>
      </c>
      <c r="B35" s="3">
        <v>99</v>
      </c>
      <c r="C35" s="6" t="s">
        <v>72</v>
      </c>
      <c r="D35" s="11">
        <v>0.18</v>
      </c>
      <c r="E35" s="11"/>
      <c r="F35" s="11"/>
      <c r="G35" s="11"/>
      <c r="H35" s="11"/>
      <c r="I35" s="11">
        <v>0</v>
      </c>
      <c r="J35" s="11"/>
      <c r="K35" s="11"/>
      <c r="L35" s="11"/>
      <c r="M35" s="12">
        <v>0</v>
      </c>
      <c r="N35" s="11"/>
      <c r="O35" s="11"/>
      <c r="P35" s="11"/>
      <c r="Q35" s="11"/>
      <c r="R35" s="11">
        <v>0.02</v>
      </c>
      <c r="S35" s="11">
        <v>0.01</v>
      </c>
      <c r="T35" s="11"/>
      <c r="U35" s="11">
        <v>0.02</v>
      </c>
      <c r="W35" s="25">
        <f t="shared" si="0"/>
        <v>3.833333333333333E-2</v>
      </c>
      <c r="X35" s="25">
        <f t="shared" si="1"/>
        <v>6.997618642557385E-2</v>
      </c>
      <c r="Y35">
        <f t="shared" si="2"/>
        <v>6</v>
      </c>
    </row>
    <row r="36" spans="1:25">
      <c r="A36" s="2">
        <v>34</v>
      </c>
      <c r="B36" s="2">
        <v>102</v>
      </c>
      <c r="C36" s="5" t="s">
        <v>69</v>
      </c>
      <c r="D36" s="10">
        <v>0.18</v>
      </c>
      <c r="I36">
        <v>0</v>
      </c>
      <c r="J36" s="10"/>
      <c r="M36" s="10">
        <v>0.01</v>
      </c>
      <c r="P36" s="10"/>
      <c r="Q36" s="20"/>
      <c r="R36" s="20">
        <v>0.01</v>
      </c>
      <c r="S36" s="22">
        <v>0.01</v>
      </c>
      <c r="U36" s="20">
        <v>0.02</v>
      </c>
      <c r="W36" s="25">
        <f t="shared" si="0"/>
        <v>3.8333333333333337E-2</v>
      </c>
      <c r="X36" s="25">
        <f t="shared" si="1"/>
        <v>6.9689788826388807E-2</v>
      </c>
      <c r="Y36">
        <f t="shared" si="2"/>
        <v>6</v>
      </c>
    </row>
    <row r="37" spans="1:25">
      <c r="A37" s="2">
        <v>35</v>
      </c>
      <c r="B37" s="2">
        <v>105</v>
      </c>
      <c r="C37" s="5" t="s">
        <v>69</v>
      </c>
      <c r="D37" s="10">
        <v>0.25</v>
      </c>
      <c r="I37">
        <v>0</v>
      </c>
      <c r="J37" s="10"/>
      <c r="M37" s="10">
        <v>0.01</v>
      </c>
      <c r="P37" s="10"/>
      <c r="Q37" s="20"/>
      <c r="R37" s="20">
        <v>0.02</v>
      </c>
      <c r="S37" s="22">
        <v>0.01</v>
      </c>
      <c r="U37" s="20">
        <v>0.02</v>
      </c>
      <c r="W37" s="25">
        <f t="shared" si="0"/>
        <v>5.1666666666666673E-2</v>
      </c>
      <c r="X37" s="25">
        <f t="shared" si="1"/>
        <v>9.7450842308656652E-2</v>
      </c>
      <c r="Y37">
        <f t="shared" si="2"/>
        <v>6</v>
      </c>
    </row>
    <row r="38" spans="1:25">
      <c r="A38" s="2">
        <v>36</v>
      </c>
      <c r="B38" s="2">
        <v>108</v>
      </c>
      <c r="C38" s="5" t="s">
        <v>69</v>
      </c>
      <c r="D38" s="10">
        <v>0.14000000000000001</v>
      </c>
      <c r="I38">
        <v>0</v>
      </c>
      <c r="J38" s="10"/>
      <c r="M38" s="10">
        <v>0.01</v>
      </c>
      <c r="P38" s="10"/>
      <c r="Q38" s="20"/>
      <c r="R38" s="20">
        <v>0.01</v>
      </c>
      <c r="S38" s="22">
        <v>0.01</v>
      </c>
      <c r="U38" s="20">
        <v>0.02</v>
      </c>
      <c r="W38" s="25">
        <f t="shared" si="0"/>
        <v>3.1666666666666669E-2</v>
      </c>
      <c r="X38" s="25">
        <f t="shared" si="1"/>
        <v>5.3447793842839444E-2</v>
      </c>
      <c r="Y38">
        <f t="shared" si="2"/>
        <v>6</v>
      </c>
    </row>
    <row r="39" spans="1:25">
      <c r="A39" s="2">
        <v>37</v>
      </c>
      <c r="B39" s="2">
        <v>111</v>
      </c>
      <c r="C39" s="5" t="s">
        <v>69</v>
      </c>
      <c r="D39" s="10">
        <v>0.12</v>
      </c>
      <c r="I39">
        <v>0</v>
      </c>
      <c r="J39" s="10"/>
      <c r="M39" s="10">
        <v>0.01</v>
      </c>
      <c r="P39" s="10"/>
      <c r="Q39" s="20"/>
      <c r="R39" s="20">
        <v>0.03</v>
      </c>
      <c r="S39" s="22">
        <v>0.04</v>
      </c>
      <c r="U39" s="20">
        <v>0.04</v>
      </c>
      <c r="W39" s="25">
        <f t="shared" si="0"/>
        <v>0.04</v>
      </c>
      <c r="X39" s="25">
        <f t="shared" si="1"/>
        <v>4.242640687119284E-2</v>
      </c>
      <c r="Y39">
        <f t="shared" si="2"/>
        <v>6</v>
      </c>
    </row>
    <row r="40" spans="1:25">
      <c r="A40" s="2">
        <v>38</v>
      </c>
      <c r="B40" s="2">
        <v>114</v>
      </c>
      <c r="C40" s="5" t="s">
        <v>69</v>
      </c>
      <c r="D40" s="10">
        <v>0.19</v>
      </c>
      <c r="I40">
        <v>0.01</v>
      </c>
      <c r="J40" s="10"/>
      <c r="M40" s="10">
        <v>0.01</v>
      </c>
      <c r="P40" s="10"/>
      <c r="Q40" s="20"/>
      <c r="R40" s="20">
        <v>0.03</v>
      </c>
      <c r="S40" s="22">
        <v>0.06</v>
      </c>
      <c r="U40" s="20">
        <v>0.02</v>
      </c>
      <c r="W40" s="25">
        <f t="shared" si="0"/>
        <v>5.3333333333333344E-2</v>
      </c>
      <c r="X40" s="25">
        <f t="shared" si="1"/>
        <v>6.9474215840602802E-2</v>
      </c>
      <c r="Y40">
        <f t="shared" si="2"/>
        <v>6</v>
      </c>
    </row>
    <row r="41" spans="1:25">
      <c r="A41" s="2">
        <v>39</v>
      </c>
      <c r="B41" s="2">
        <v>117</v>
      </c>
      <c r="C41" s="5" t="s">
        <v>69</v>
      </c>
      <c r="D41" s="10">
        <v>0.15</v>
      </c>
      <c r="I41">
        <v>0.01</v>
      </c>
      <c r="J41" s="10"/>
      <c r="M41" s="10">
        <v>0.01</v>
      </c>
      <c r="P41" s="10"/>
      <c r="Q41" s="20"/>
      <c r="R41" s="20">
        <v>0.02</v>
      </c>
      <c r="S41" s="22">
        <v>0.03</v>
      </c>
      <c r="U41" s="20">
        <v>0.02</v>
      </c>
      <c r="W41" s="25">
        <f t="shared" si="0"/>
        <v>0.04</v>
      </c>
      <c r="X41" s="25">
        <f t="shared" si="1"/>
        <v>5.4405882034941774E-2</v>
      </c>
      <c r="Y41">
        <f t="shared" si="2"/>
        <v>6</v>
      </c>
    </row>
    <row r="42" spans="1:25">
      <c r="A42" s="2">
        <v>40</v>
      </c>
      <c r="B42" s="2">
        <v>120</v>
      </c>
      <c r="C42" s="5" t="s">
        <v>69</v>
      </c>
      <c r="D42" s="10">
        <v>0.19</v>
      </c>
      <c r="I42">
        <v>0</v>
      </c>
      <c r="J42" s="10"/>
      <c r="M42" s="10">
        <v>0.01</v>
      </c>
      <c r="P42" s="10"/>
      <c r="Q42" s="20"/>
      <c r="R42" s="20">
        <v>0.02</v>
      </c>
      <c r="S42" s="22">
        <v>0.04</v>
      </c>
      <c r="U42" s="20">
        <v>0.02</v>
      </c>
      <c r="W42" s="25">
        <f t="shared" si="0"/>
        <v>4.6666666666666669E-2</v>
      </c>
      <c r="X42" s="25">
        <f t="shared" si="1"/>
        <v>7.146094504459527E-2</v>
      </c>
      <c r="Y42">
        <f t="shared" si="2"/>
        <v>6</v>
      </c>
    </row>
    <row r="43" spans="1:25">
      <c r="A43" s="3">
        <v>41</v>
      </c>
      <c r="B43" s="3">
        <v>123</v>
      </c>
      <c r="C43" s="7" t="s">
        <v>73</v>
      </c>
      <c r="D43" s="11">
        <v>0.15</v>
      </c>
      <c r="E43" s="11"/>
      <c r="F43" s="11"/>
      <c r="G43" s="11"/>
      <c r="H43" s="11"/>
      <c r="I43" s="11">
        <v>0.01</v>
      </c>
      <c r="J43" s="11"/>
      <c r="K43" s="11"/>
      <c r="L43" s="11"/>
      <c r="M43" s="11">
        <v>0.01</v>
      </c>
      <c r="N43" s="11"/>
      <c r="O43" s="11"/>
      <c r="P43" s="11"/>
      <c r="Q43" s="11"/>
      <c r="R43" s="11">
        <v>0.02</v>
      </c>
      <c r="S43" s="11">
        <v>0.04</v>
      </c>
      <c r="T43" s="11"/>
      <c r="U43" s="11">
        <v>0.02</v>
      </c>
      <c r="W43" s="25">
        <f t="shared" si="0"/>
        <v>4.1666666666666664E-2</v>
      </c>
      <c r="X43" s="25">
        <f t="shared" si="1"/>
        <v>5.4191020166321532E-2</v>
      </c>
      <c r="Y43">
        <f t="shared" si="2"/>
        <v>6</v>
      </c>
    </row>
    <row r="44" spans="1:25">
      <c r="A44" s="3">
        <v>42</v>
      </c>
      <c r="B44" s="3">
        <v>126</v>
      </c>
      <c r="C44" s="7" t="s">
        <v>73</v>
      </c>
      <c r="D44" s="11">
        <v>0.36</v>
      </c>
      <c r="E44" s="11"/>
      <c r="F44" s="11"/>
      <c r="G44" s="11"/>
      <c r="H44" s="11"/>
      <c r="I44" s="11">
        <v>0.01</v>
      </c>
      <c r="J44" s="11"/>
      <c r="K44" s="11"/>
      <c r="L44" s="11"/>
      <c r="M44" s="11">
        <v>0</v>
      </c>
      <c r="N44" s="11"/>
      <c r="O44" s="11"/>
      <c r="P44" s="11"/>
      <c r="Q44" s="11"/>
      <c r="R44" s="11">
        <v>0.04</v>
      </c>
      <c r="S44" s="11">
        <v>0.21</v>
      </c>
      <c r="T44" s="11"/>
      <c r="U44" s="11">
        <v>0.1</v>
      </c>
      <c r="W44" s="25">
        <f t="shared" si="0"/>
        <v>0.12</v>
      </c>
      <c r="X44" s="25">
        <f t="shared" si="1"/>
        <v>0.14071247279470289</v>
      </c>
      <c r="Y44">
        <f t="shared" si="2"/>
        <v>6</v>
      </c>
    </row>
    <row r="45" spans="1:25">
      <c r="A45" s="3">
        <v>43</v>
      </c>
      <c r="B45" s="3">
        <v>129</v>
      </c>
      <c r="C45" s="7" t="s">
        <v>73</v>
      </c>
      <c r="D45" s="11">
        <v>0.54</v>
      </c>
      <c r="E45" s="11"/>
      <c r="F45" s="11"/>
      <c r="G45" s="11"/>
      <c r="H45" s="11"/>
      <c r="I45" s="11">
        <v>0.01</v>
      </c>
      <c r="J45" s="11"/>
      <c r="K45" s="11"/>
      <c r="L45" s="11"/>
      <c r="M45" s="11">
        <v>0.04</v>
      </c>
      <c r="N45" s="11"/>
      <c r="O45" s="11"/>
      <c r="P45" s="11"/>
      <c r="Q45" s="11"/>
      <c r="R45" s="11">
        <v>0.12</v>
      </c>
      <c r="S45" s="11">
        <v>0.21</v>
      </c>
      <c r="T45" s="11"/>
      <c r="U45" s="11">
        <v>0.14000000000000001</v>
      </c>
      <c r="W45" s="25">
        <f t="shared" si="0"/>
        <v>0.17666666666666667</v>
      </c>
      <c r="X45" s="25">
        <f t="shared" si="1"/>
        <v>0.19190275315030439</v>
      </c>
      <c r="Y45">
        <f t="shared" si="2"/>
        <v>6</v>
      </c>
    </row>
    <row r="46" spans="1:25">
      <c r="A46" s="2">
        <v>44</v>
      </c>
      <c r="B46" s="2">
        <v>132</v>
      </c>
      <c r="C46" s="5" t="s">
        <v>69</v>
      </c>
      <c r="D46" s="10">
        <v>0.34</v>
      </c>
      <c r="I46">
        <v>0.01</v>
      </c>
      <c r="J46" s="10"/>
      <c r="M46" s="10">
        <v>0.03</v>
      </c>
      <c r="P46" s="10"/>
      <c r="Q46" s="20"/>
      <c r="R46" s="20">
        <v>0.06</v>
      </c>
      <c r="S46" s="22">
        <v>0.14000000000000001</v>
      </c>
      <c r="U46" s="20">
        <v>0.05</v>
      </c>
      <c r="W46" s="25">
        <f t="shared" si="0"/>
        <v>0.10500000000000002</v>
      </c>
      <c r="X46" s="25">
        <f t="shared" si="1"/>
        <v>0.12340988615179904</v>
      </c>
      <c r="Y46">
        <f t="shared" si="2"/>
        <v>6</v>
      </c>
    </row>
    <row r="47" spans="1:25">
      <c r="A47" s="2">
        <v>45</v>
      </c>
      <c r="B47" s="2">
        <v>135</v>
      </c>
      <c r="C47" s="5" t="s">
        <v>69</v>
      </c>
      <c r="D47" s="10">
        <v>0.27</v>
      </c>
      <c r="I47">
        <v>0.01</v>
      </c>
      <c r="J47" s="10"/>
      <c r="M47" s="10">
        <v>0.01</v>
      </c>
      <c r="P47" s="10"/>
      <c r="Q47" s="20"/>
      <c r="R47" s="20">
        <v>0.05</v>
      </c>
      <c r="S47" s="22">
        <v>0.09</v>
      </c>
      <c r="U47" s="20">
        <v>0.04</v>
      </c>
      <c r="W47" s="25">
        <f t="shared" si="0"/>
        <v>7.8333333333333338E-2</v>
      </c>
      <c r="X47" s="25">
        <f t="shared" si="1"/>
        <v>9.8471654127808117E-2</v>
      </c>
      <c r="Y47">
        <f t="shared" si="2"/>
        <v>6</v>
      </c>
    </row>
    <row r="48" spans="1:25">
      <c r="A48" s="2">
        <v>46</v>
      </c>
      <c r="B48" s="2">
        <v>138</v>
      </c>
      <c r="C48" s="5" t="s">
        <v>69</v>
      </c>
      <c r="D48" s="10">
        <v>0.15</v>
      </c>
      <c r="I48">
        <v>0</v>
      </c>
      <c r="J48" s="10"/>
      <c r="M48" s="10">
        <v>0.01</v>
      </c>
      <c r="P48" s="10"/>
      <c r="Q48" s="20"/>
      <c r="R48" s="20">
        <v>0.02</v>
      </c>
      <c r="S48" s="22">
        <v>0.03</v>
      </c>
      <c r="U48" s="20">
        <v>0.02</v>
      </c>
      <c r="W48" s="25">
        <f t="shared" si="0"/>
        <v>3.833333333333333E-2</v>
      </c>
      <c r="X48" s="25">
        <f t="shared" si="1"/>
        <v>5.5647701360134069E-2</v>
      </c>
      <c r="Y48">
        <f t="shared" si="2"/>
        <v>6</v>
      </c>
    </row>
    <row r="49" spans="1:25">
      <c r="A49" s="2">
        <v>47</v>
      </c>
      <c r="B49" s="2">
        <v>141</v>
      </c>
      <c r="C49" s="5" t="s">
        <v>69</v>
      </c>
      <c r="D49" s="10">
        <v>0.11</v>
      </c>
      <c r="I49">
        <v>0</v>
      </c>
      <c r="J49" s="10"/>
      <c r="M49" s="10">
        <v>0.01</v>
      </c>
      <c r="P49" s="10"/>
      <c r="Q49" s="20"/>
      <c r="R49" s="20">
        <v>0.01</v>
      </c>
      <c r="S49" s="22">
        <v>0.02</v>
      </c>
      <c r="U49" s="20">
        <v>0.02</v>
      </c>
      <c r="W49" s="25">
        <f t="shared" si="0"/>
        <v>2.8333333333333332E-2</v>
      </c>
      <c r="X49" s="25">
        <f t="shared" si="1"/>
        <v>4.0702170294305756E-2</v>
      </c>
      <c r="Y49">
        <f t="shared" si="2"/>
        <v>6</v>
      </c>
    </row>
    <row r="50" spans="1:25">
      <c r="A50" s="2">
        <v>48</v>
      </c>
      <c r="B50" s="2">
        <v>144</v>
      </c>
      <c r="C50" s="5" t="s">
        <v>69</v>
      </c>
      <c r="D50" s="10">
        <v>0.14000000000000001</v>
      </c>
      <c r="I50">
        <v>0.01</v>
      </c>
      <c r="J50" s="10"/>
      <c r="M50" s="10">
        <v>0</v>
      </c>
      <c r="P50" s="10"/>
      <c r="Q50" s="20"/>
      <c r="R50" s="20">
        <v>0.02</v>
      </c>
      <c r="S50" s="22">
        <v>0.03</v>
      </c>
      <c r="U50" s="20">
        <v>0.02</v>
      </c>
      <c r="W50" s="25">
        <f t="shared" si="0"/>
        <v>3.6666666666666667E-2</v>
      </c>
      <c r="X50" s="25">
        <f t="shared" si="1"/>
        <v>5.1639777949432239E-2</v>
      </c>
      <c r="Y50">
        <f t="shared" si="2"/>
        <v>6</v>
      </c>
    </row>
    <row r="51" spans="1:25">
      <c r="A51" s="2">
        <v>49</v>
      </c>
      <c r="B51" s="2">
        <v>147</v>
      </c>
      <c r="C51" s="5" t="s">
        <v>69</v>
      </c>
      <c r="D51" s="10">
        <v>0.15</v>
      </c>
      <c r="I51">
        <v>0</v>
      </c>
      <c r="J51" s="10"/>
      <c r="M51" s="10">
        <v>0.01</v>
      </c>
      <c r="P51" s="10"/>
      <c r="Q51" s="20"/>
      <c r="R51" s="20">
        <v>0.03</v>
      </c>
      <c r="S51" s="22">
        <v>0.05</v>
      </c>
      <c r="U51" s="20">
        <v>0.02</v>
      </c>
      <c r="W51" s="25">
        <f t="shared" si="0"/>
        <v>4.3333333333333335E-2</v>
      </c>
      <c r="X51" s="25">
        <f t="shared" si="1"/>
        <v>5.5015149428740688E-2</v>
      </c>
      <c r="Y51">
        <f t="shared" si="2"/>
        <v>6</v>
      </c>
    </row>
    <row r="52" spans="1:25" ht="17.100000000000001" thickBot="1">
      <c r="A52" s="4">
        <v>50</v>
      </c>
      <c r="B52" s="4">
        <v>150</v>
      </c>
      <c r="C52" s="8" t="s">
        <v>69</v>
      </c>
      <c r="D52" s="13">
        <v>0.19</v>
      </c>
      <c r="E52" s="13"/>
      <c r="F52" s="13"/>
      <c r="G52" s="13"/>
      <c r="H52" s="13"/>
      <c r="I52" s="13">
        <v>0</v>
      </c>
      <c r="J52" s="13"/>
      <c r="K52" s="13"/>
      <c r="L52" s="13"/>
      <c r="M52" s="13">
        <v>0</v>
      </c>
      <c r="N52" s="13"/>
      <c r="O52" s="13"/>
      <c r="P52" s="13"/>
      <c r="Q52" s="13"/>
      <c r="R52" s="13">
        <v>0.03</v>
      </c>
      <c r="S52" s="13">
        <v>0.05</v>
      </c>
      <c r="T52" s="13"/>
      <c r="U52" s="13">
        <v>0.02</v>
      </c>
      <c r="W52" s="25">
        <f t="shared" si="0"/>
        <v>4.8333333333333339E-2</v>
      </c>
      <c r="X52" s="25">
        <f t="shared" si="1"/>
        <v>7.194905605125522E-2</v>
      </c>
      <c r="Y52">
        <f t="shared" si="2"/>
        <v>6</v>
      </c>
    </row>
    <row r="54" spans="1:25">
      <c r="A54" t="s">
        <v>74</v>
      </c>
    </row>
    <row r="55" spans="1:25">
      <c r="A55" s="9" t="s">
        <v>12</v>
      </c>
      <c r="B55" s="9" t="s">
        <v>14</v>
      </c>
    </row>
    <row r="56" spans="1:25">
      <c r="A56" s="2">
        <v>1</v>
      </c>
      <c r="B56" t="s">
        <v>21</v>
      </c>
    </row>
    <row r="57" spans="1:25">
      <c r="A57" s="2">
        <v>2</v>
      </c>
      <c r="B57" s="17" t="s">
        <v>24</v>
      </c>
      <c r="E57" t="s">
        <v>75</v>
      </c>
    </row>
    <row r="58" spans="1:25">
      <c r="A58" s="2">
        <v>3</v>
      </c>
      <c r="B58" s="17" t="s">
        <v>28</v>
      </c>
      <c r="E58" t="s">
        <v>75</v>
      </c>
    </row>
    <row r="59" spans="1:25">
      <c r="A59" s="2">
        <v>4</v>
      </c>
      <c r="B59" s="17" t="s">
        <v>30</v>
      </c>
      <c r="E59" t="s">
        <v>75</v>
      </c>
    </row>
    <row r="60" spans="1:25">
      <c r="A60" s="2">
        <v>5</v>
      </c>
      <c r="B60" s="17" t="s">
        <v>32</v>
      </c>
      <c r="E60" t="s">
        <v>75</v>
      </c>
    </row>
    <row r="61" spans="1:25">
      <c r="A61" s="2">
        <v>6</v>
      </c>
      <c r="B61" t="s">
        <v>34</v>
      </c>
    </row>
    <row r="62" spans="1:25">
      <c r="A62" s="2">
        <v>7</v>
      </c>
      <c r="B62" s="16" t="s">
        <v>36</v>
      </c>
      <c r="E62" t="s">
        <v>76</v>
      </c>
    </row>
    <row r="63" spans="1:25">
      <c r="A63" s="2">
        <v>8</v>
      </c>
      <c r="B63" s="17" t="s">
        <v>38</v>
      </c>
      <c r="E63" t="s">
        <v>58</v>
      </c>
    </row>
    <row r="64" spans="1:25">
      <c r="A64" s="2">
        <v>9</v>
      </c>
      <c r="B64" s="17" t="s">
        <v>39</v>
      </c>
      <c r="E64" t="s">
        <v>58</v>
      </c>
    </row>
    <row r="65" spans="1:5">
      <c r="A65" s="2">
        <v>10</v>
      </c>
      <c r="B65" t="s">
        <v>40</v>
      </c>
    </row>
    <row r="66" spans="1:5">
      <c r="A66" s="2">
        <v>11</v>
      </c>
      <c r="B66" s="17" t="s">
        <v>44</v>
      </c>
      <c r="E66" t="s">
        <v>58</v>
      </c>
    </row>
    <row r="67" spans="1:5">
      <c r="A67" s="2">
        <v>12</v>
      </c>
      <c r="B67" s="17" t="s">
        <v>46</v>
      </c>
      <c r="E67" t="s">
        <v>77</v>
      </c>
    </row>
    <row r="68" spans="1:5">
      <c r="A68" s="2">
        <v>13</v>
      </c>
      <c r="B68" s="19" t="s">
        <v>48</v>
      </c>
      <c r="E68" t="s">
        <v>76</v>
      </c>
    </row>
    <row r="69" spans="1:5">
      <c r="A69" s="2"/>
    </row>
    <row r="70" spans="1:5">
      <c r="A70" s="5" t="s">
        <v>78</v>
      </c>
    </row>
    <row r="71" spans="1:5">
      <c r="A71" s="9" t="s">
        <v>12</v>
      </c>
      <c r="B71" s="9" t="s">
        <v>14</v>
      </c>
    </row>
    <row r="72" spans="1:5">
      <c r="A72" s="2">
        <v>14</v>
      </c>
      <c r="B72" s="19" t="s">
        <v>79</v>
      </c>
      <c r="E72" t="s">
        <v>76</v>
      </c>
    </row>
    <row r="73" spans="1:5">
      <c r="A73" s="2">
        <v>15</v>
      </c>
      <c r="B73" t="s">
        <v>80</v>
      </c>
    </row>
    <row r="74" spans="1:5">
      <c r="A74" s="2">
        <v>16</v>
      </c>
      <c r="B74" t="s">
        <v>81</v>
      </c>
    </row>
    <row r="75" spans="1:5">
      <c r="A75" s="2">
        <v>17</v>
      </c>
      <c r="B75" s="17" t="s">
        <v>82</v>
      </c>
      <c r="E75" t="s">
        <v>58</v>
      </c>
    </row>
    <row r="76" spans="1:5">
      <c r="A76" s="2">
        <v>18</v>
      </c>
      <c r="B7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1EC8-9BCC-C642-881A-E9C0AB980971}">
  <dimension ref="A2:AC76"/>
  <sheetViews>
    <sheetView topLeftCell="A54" zoomScale="90" zoomScaleNormal="90" workbookViewId="0">
      <selection activeCell="E9" sqref="E9"/>
    </sheetView>
  </sheetViews>
  <sheetFormatPr defaultColWidth="11" defaultRowHeight="15.95"/>
  <cols>
    <col min="2" max="2" width="12.375" bestFit="1" customWidth="1"/>
    <col min="3" max="3" width="30" bestFit="1" customWidth="1"/>
    <col min="4" max="4" width="15.375" customWidth="1"/>
  </cols>
  <sheetData>
    <row r="2" spans="1:29">
      <c r="A2" s="14" t="s">
        <v>61</v>
      </c>
      <c r="B2" s="14" t="s">
        <v>62</v>
      </c>
      <c r="C2" s="14" t="s">
        <v>63</v>
      </c>
      <c r="D2" s="15">
        <v>1</v>
      </c>
      <c r="E2" s="15">
        <v>2</v>
      </c>
      <c r="F2" s="15">
        <v>3</v>
      </c>
      <c r="G2" s="15">
        <v>4</v>
      </c>
      <c r="H2" s="15">
        <v>5</v>
      </c>
      <c r="I2" s="15">
        <v>6</v>
      </c>
      <c r="J2" s="15">
        <v>7</v>
      </c>
      <c r="K2" s="15">
        <v>8</v>
      </c>
      <c r="L2" s="15">
        <v>9</v>
      </c>
      <c r="M2" s="15">
        <v>10</v>
      </c>
      <c r="N2" s="15">
        <v>11</v>
      </c>
      <c r="O2" s="15">
        <v>12</v>
      </c>
      <c r="P2" s="15">
        <v>13</v>
      </c>
      <c r="Q2" s="15">
        <v>14</v>
      </c>
      <c r="R2" s="15">
        <v>15</v>
      </c>
      <c r="S2" s="15">
        <v>16</v>
      </c>
      <c r="T2" s="15">
        <v>17</v>
      </c>
      <c r="U2" s="15">
        <v>18</v>
      </c>
      <c r="W2" s="26" t="s">
        <v>64</v>
      </c>
      <c r="X2" s="26" t="s">
        <v>67</v>
      </c>
      <c r="Y2" s="26" t="s">
        <v>66</v>
      </c>
      <c r="AA2" s="26" t="s">
        <v>64</v>
      </c>
      <c r="AB2" s="26" t="s">
        <v>67</v>
      </c>
      <c r="AC2" s="26" t="s">
        <v>66</v>
      </c>
    </row>
    <row r="3" spans="1:29">
      <c r="A3" s="2">
        <v>1</v>
      </c>
      <c r="B3" s="2">
        <v>3</v>
      </c>
      <c r="C3" s="5" t="s">
        <v>68</v>
      </c>
      <c r="D3" s="10">
        <v>0.221</v>
      </c>
      <c r="I3">
        <v>8.3000000000000004E-2</v>
      </c>
      <c r="J3" s="10"/>
      <c r="M3" s="10">
        <v>2.1000000000000001E-2</v>
      </c>
      <c r="P3" s="10"/>
      <c r="Q3" s="20"/>
      <c r="R3" s="20">
        <v>2.5000000000000001E-2</v>
      </c>
      <c r="S3" s="21">
        <v>0.02</v>
      </c>
      <c r="U3" s="20">
        <v>1.9E-2</v>
      </c>
      <c r="W3" s="25" t="s">
        <v>84</v>
      </c>
      <c r="X3" s="25">
        <f>_xlfn.STDEV.S(D3:U3)</f>
        <v>8.0419939484350916E-2</v>
      </c>
      <c r="Y3">
        <f>COUNT(D3:U3)</f>
        <v>6</v>
      </c>
    </row>
    <row r="4" spans="1:29">
      <c r="A4" s="2">
        <v>2</v>
      </c>
      <c r="B4" s="2">
        <v>6</v>
      </c>
      <c r="C4" s="5" t="s">
        <v>69</v>
      </c>
      <c r="D4" s="10">
        <v>0.25800000000000001</v>
      </c>
      <c r="I4">
        <v>7.4999999999999997E-2</v>
      </c>
      <c r="J4" s="10"/>
      <c r="M4" s="10">
        <v>2.1000000000000001E-2</v>
      </c>
      <c r="P4" s="10"/>
      <c r="Q4" s="20"/>
      <c r="R4" s="20">
        <v>2.3E-2</v>
      </c>
      <c r="S4" s="22">
        <v>0.02</v>
      </c>
      <c r="U4" s="20">
        <v>1.9E-2</v>
      </c>
      <c r="W4" s="25">
        <f t="shared" ref="W4:W52" si="0">AVERAGE(D4:U4)</f>
        <v>6.9333333333333344E-2</v>
      </c>
      <c r="X4" s="25">
        <f t="shared" ref="X4:X52" si="1">_xlfn.STDEV.S(D4:U4)</f>
        <v>9.4949811304007675E-2</v>
      </c>
      <c r="Y4">
        <f t="shared" ref="Y4:Y52" si="2">COUNT(D4:U4)</f>
        <v>6</v>
      </c>
    </row>
    <row r="5" spans="1:29">
      <c r="A5" s="2">
        <v>3</v>
      </c>
      <c r="B5" s="2">
        <v>9</v>
      </c>
      <c r="C5" s="5" t="s">
        <v>69</v>
      </c>
      <c r="D5" s="10">
        <v>0.19600000000000001</v>
      </c>
      <c r="I5">
        <v>7.1999999999999995E-2</v>
      </c>
      <c r="J5" s="10"/>
      <c r="M5" s="10">
        <v>2.1000000000000001E-2</v>
      </c>
      <c r="P5" s="10"/>
      <c r="Q5" s="20"/>
      <c r="R5" s="20">
        <v>2.1999999999999999E-2</v>
      </c>
      <c r="S5" s="22">
        <v>0.02</v>
      </c>
      <c r="U5" s="20">
        <v>1.9E-2</v>
      </c>
      <c r="W5" s="25">
        <f t="shared" si="0"/>
        <v>5.8333333333333348E-2</v>
      </c>
      <c r="X5" s="25">
        <f t="shared" si="1"/>
        <v>7.0525645453740196E-2</v>
      </c>
      <c r="Y5">
        <f t="shared" si="2"/>
        <v>6</v>
      </c>
    </row>
    <row r="6" spans="1:29">
      <c r="A6" s="3">
        <v>4</v>
      </c>
      <c r="B6" s="3">
        <v>12</v>
      </c>
      <c r="C6" s="6" t="s">
        <v>70</v>
      </c>
      <c r="D6" s="11">
        <v>0.21199999999999999</v>
      </c>
      <c r="E6" s="11"/>
      <c r="F6" s="11"/>
      <c r="G6" s="11"/>
      <c r="H6" s="11"/>
      <c r="I6" s="11">
        <v>6.0999999999999999E-2</v>
      </c>
      <c r="J6" s="11"/>
      <c r="K6" s="11"/>
      <c r="L6" s="11"/>
      <c r="M6" s="11">
        <v>5.1999999999999998E-2</v>
      </c>
      <c r="N6" s="11"/>
      <c r="O6" s="11"/>
      <c r="P6" s="11"/>
      <c r="Q6" s="11"/>
      <c r="R6" s="11">
        <v>2.1999999999999999E-2</v>
      </c>
      <c r="S6" s="11">
        <v>0.01</v>
      </c>
      <c r="T6" s="11"/>
      <c r="U6" s="11">
        <v>1.9E-2</v>
      </c>
      <c r="W6" s="25">
        <f t="shared" si="0"/>
        <v>6.2666666666666676E-2</v>
      </c>
      <c r="X6" s="25">
        <f t="shared" si="1"/>
        <v>7.5830512768058383E-2</v>
      </c>
      <c r="Y6">
        <f t="shared" si="2"/>
        <v>6</v>
      </c>
    </row>
    <row r="7" spans="1:29">
      <c r="A7" s="3">
        <v>5</v>
      </c>
      <c r="B7" s="3">
        <v>15</v>
      </c>
      <c r="C7" s="6" t="s">
        <v>70</v>
      </c>
      <c r="D7" s="11">
        <v>0.22800000000000001</v>
      </c>
      <c r="E7" s="11"/>
      <c r="F7" s="11"/>
      <c r="G7" s="11"/>
      <c r="H7" s="11"/>
      <c r="I7" s="11">
        <v>0.06</v>
      </c>
      <c r="J7" s="11"/>
      <c r="K7" s="11"/>
      <c r="L7" s="11"/>
      <c r="M7" s="11">
        <v>5.1999999999999998E-2</v>
      </c>
      <c r="N7" s="11"/>
      <c r="O7" s="11"/>
      <c r="P7" s="11"/>
      <c r="Q7" s="11"/>
      <c r="R7" s="11">
        <v>2.5000000000000001E-2</v>
      </c>
      <c r="S7" s="11">
        <v>0.02</v>
      </c>
      <c r="T7" s="11"/>
      <c r="U7" s="11">
        <v>1.9E-2</v>
      </c>
      <c r="W7" s="25">
        <f t="shared" si="0"/>
        <v>6.7333333333333342E-2</v>
      </c>
      <c r="X7" s="25">
        <f t="shared" si="1"/>
        <v>8.0587013014918635E-2</v>
      </c>
      <c r="Y7">
        <f t="shared" si="2"/>
        <v>6</v>
      </c>
    </row>
    <row r="8" spans="1:29">
      <c r="A8" s="3">
        <v>6</v>
      </c>
      <c r="B8" s="3">
        <v>18</v>
      </c>
      <c r="C8" s="6" t="s">
        <v>70</v>
      </c>
      <c r="D8" s="11">
        <v>0.35599999999999998</v>
      </c>
      <c r="E8" s="11"/>
      <c r="F8" s="11"/>
      <c r="G8" s="11"/>
      <c r="H8" s="11"/>
      <c r="I8" s="11">
        <v>0.114</v>
      </c>
      <c r="J8" s="11"/>
      <c r="K8" s="11"/>
      <c r="L8" s="11"/>
      <c r="M8" s="11">
        <v>1.7999999999999999E-2</v>
      </c>
      <c r="N8" s="11"/>
      <c r="O8" s="11"/>
      <c r="P8" s="11"/>
      <c r="Q8" s="11"/>
      <c r="R8" s="11">
        <v>7.2999999999999995E-2</v>
      </c>
      <c r="S8" s="11">
        <v>7.0000000000000007E-2</v>
      </c>
      <c r="T8" s="11"/>
      <c r="U8" s="11">
        <v>6.7000000000000004E-2</v>
      </c>
      <c r="W8" s="25">
        <f t="shared" si="0"/>
        <v>0.11633333333333333</v>
      </c>
      <c r="X8" s="25">
        <f t="shared" si="1"/>
        <v>0.12130402576446778</v>
      </c>
      <c r="Y8">
        <f t="shared" si="2"/>
        <v>6</v>
      </c>
    </row>
    <row r="9" spans="1:29">
      <c r="A9" s="3">
        <v>7</v>
      </c>
      <c r="B9" s="3">
        <v>21</v>
      </c>
      <c r="C9" s="6" t="s">
        <v>70</v>
      </c>
      <c r="D9" s="11">
        <v>0.36099999999999999</v>
      </c>
      <c r="E9" s="11"/>
      <c r="F9" s="11"/>
      <c r="G9" s="11"/>
      <c r="H9" s="11"/>
      <c r="I9" s="11">
        <v>0.13</v>
      </c>
      <c r="J9" s="11"/>
      <c r="K9" s="11"/>
      <c r="L9" s="11"/>
      <c r="M9" s="11">
        <v>0.25900000000000001</v>
      </c>
      <c r="N9" s="11"/>
      <c r="O9" s="11"/>
      <c r="P9" s="11"/>
      <c r="Q9" s="11"/>
      <c r="R9" s="11">
        <v>6.6000000000000003E-2</v>
      </c>
      <c r="S9" s="11">
        <v>0.05</v>
      </c>
      <c r="T9" s="11"/>
      <c r="U9" s="11">
        <v>2.5000000000000001E-2</v>
      </c>
      <c r="W9" s="25">
        <f t="shared" si="0"/>
        <v>0.14850000000000002</v>
      </c>
      <c r="X9" s="25">
        <f t="shared" si="1"/>
        <v>0.13376808288975361</v>
      </c>
      <c r="Y9">
        <f t="shared" si="2"/>
        <v>6</v>
      </c>
    </row>
    <row r="10" spans="1:29">
      <c r="A10" s="3">
        <v>8</v>
      </c>
      <c r="B10" s="3">
        <v>24</v>
      </c>
      <c r="C10" s="6" t="s">
        <v>70</v>
      </c>
      <c r="D10" s="11">
        <v>0.375</v>
      </c>
      <c r="E10" s="11"/>
      <c r="F10" s="11"/>
      <c r="G10" s="11"/>
      <c r="H10" s="11"/>
      <c r="I10" s="11">
        <v>0.115</v>
      </c>
      <c r="J10" s="11"/>
      <c r="K10" s="11"/>
      <c r="L10" s="11"/>
      <c r="M10" s="11">
        <v>0.14399999999999999</v>
      </c>
      <c r="N10" s="11"/>
      <c r="O10" s="11"/>
      <c r="P10" s="11"/>
      <c r="Q10" s="11"/>
      <c r="R10" s="11">
        <v>6.5000000000000002E-2</v>
      </c>
      <c r="S10" s="11">
        <v>0.04</v>
      </c>
      <c r="T10" s="11"/>
      <c r="U10" s="11">
        <v>0.03</v>
      </c>
      <c r="W10" s="25">
        <f t="shared" si="0"/>
        <v>0.12816666666666668</v>
      </c>
      <c r="X10" s="25">
        <f t="shared" si="1"/>
        <v>0.1286474510694505</v>
      </c>
      <c r="Y10">
        <f t="shared" si="2"/>
        <v>6</v>
      </c>
    </row>
    <row r="11" spans="1:29">
      <c r="A11" s="3">
        <v>9</v>
      </c>
      <c r="B11" s="3">
        <v>27</v>
      </c>
      <c r="C11" s="6" t="s">
        <v>70</v>
      </c>
      <c r="D11" s="11">
        <v>0.35199999999999998</v>
      </c>
      <c r="E11" s="11"/>
      <c r="F11" s="11"/>
      <c r="G11" s="11"/>
      <c r="H11" s="11"/>
      <c r="I11" s="11">
        <v>0.11700000000000001</v>
      </c>
      <c r="J11" s="11"/>
      <c r="K11" s="11"/>
      <c r="L11" s="11"/>
      <c r="M11" s="11">
        <v>0.18099999999999999</v>
      </c>
      <c r="N11" s="11"/>
      <c r="O11" s="11"/>
      <c r="P11" s="11"/>
      <c r="Q11" s="11"/>
      <c r="R11" s="11">
        <v>7.3999999999999996E-2</v>
      </c>
      <c r="S11" s="11">
        <v>0.04</v>
      </c>
      <c r="T11" s="11"/>
      <c r="U11" s="11">
        <v>4.4999999999999998E-2</v>
      </c>
      <c r="W11" s="25">
        <f t="shared" si="0"/>
        <v>0.13483333333333333</v>
      </c>
      <c r="X11" s="25">
        <f t="shared" si="1"/>
        <v>0.11863796469371291</v>
      </c>
      <c r="Y11">
        <f t="shared" si="2"/>
        <v>6</v>
      </c>
    </row>
    <row r="12" spans="1:29">
      <c r="A12" s="3">
        <v>10</v>
      </c>
      <c r="B12" s="3">
        <v>30</v>
      </c>
      <c r="C12" s="6" t="s">
        <v>70</v>
      </c>
      <c r="D12" s="11">
        <v>0.36199999999999999</v>
      </c>
      <c r="E12" s="11"/>
      <c r="F12" s="11"/>
      <c r="G12" s="11"/>
      <c r="H12" s="11"/>
      <c r="I12" s="11">
        <v>0.112</v>
      </c>
      <c r="J12" s="11"/>
      <c r="K12" s="11"/>
      <c r="L12" s="11"/>
      <c r="M12" s="11">
        <v>8.2000000000000003E-2</v>
      </c>
      <c r="N12" s="11"/>
      <c r="O12" s="11"/>
      <c r="P12" s="11"/>
      <c r="Q12" s="11"/>
      <c r="R12" s="11">
        <v>6.8000000000000005E-2</v>
      </c>
      <c r="S12" s="11">
        <v>0.04</v>
      </c>
      <c r="T12" s="11"/>
      <c r="U12" s="11">
        <v>2.8000000000000001E-2</v>
      </c>
      <c r="W12" s="25">
        <f t="shared" si="0"/>
        <v>0.11533333333333333</v>
      </c>
      <c r="X12" s="25">
        <f t="shared" si="1"/>
        <v>0.12450649246792983</v>
      </c>
      <c r="Y12">
        <f t="shared" si="2"/>
        <v>6</v>
      </c>
    </row>
    <row r="13" spans="1:29">
      <c r="A13" s="3">
        <v>11</v>
      </c>
      <c r="B13" s="3">
        <v>33</v>
      </c>
      <c r="C13" s="6" t="s">
        <v>70</v>
      </c>
      <c r="D13" s="11">
        <v>0.34499999999999997</v>
      </c>
      <c r="E13" s="11"/>
      <c r="F13" s="11"/>
      <c r="G13" s="11"/>
      <c r="H13" s="11"/>
      <c r="I13" s="11">
        <v>0.115</v>
      </c>
      <c r="J13" s="11"/>
      <c r="K13" s="11"/>
      <c r="L13" s="11"/>
      <c r="M13" s="11">
        <v>-5.0000000000000001E-3</v>
      </c>
      <c r="N13" s="11"/>
      <c r="O13" s="11"/>
      <c r="P13" s="11"/>
      <c r="Q13" s="11"/>
      <c r="R13" s="11">
        <v>7.6999999999999999E-2</v>
      </c>
      <c r="S13" s="11">
        <v>0.04</v>
      </c>
      <c r="T13" s="11"/>
      <c r="U13" s="11">
        <v>3.1E-2</v>
      </c>
      <c r="W13" s="25">
        <f t="shared" si="0"/>
        <v>0.10049999999999999</v>
      </c>
      <c r="X13" s="25">
        <f t="shared" si="1"/>
        <v>0.12662029853068579</v>
      </c>
      <c r="Y13">
        <f t="shared" si="2"/>
        <v>6</v>
      </c>
    </row>
    <row r="14" spans="1:29">
      <c r="A14" s="3">
        <v>12</v>
      </c>
      <c r="B14" s="3">
        <v>36</v>
      </c>
      <c r="C14" s="6" t="s">
        <v>70</v>
      </c>
      <c r="D14" s="11">
        <v>0.41599999999999998</v>
      </c>
      <c r="E14" s="11"/>
      <c r="F14" s="11"/>
      <c r="G14" s="11"/>
      <c r="H14" s="11"/>
      <c r="I14" s="11">
        <v>0.10199999999999999</v>
      </c>
      <c r="J14" s="11"/>
      <c r="K14" s="11"/>
      <c r="L14" s="11"/>
      <c r="M14" s="11">
        <v>0.09</v>
      </c>
      <c r="N14" s="11"/>
      <c r="O14" s="11"/>
      <c r="P14" s="11"/>
      <c r="Q14" s="11"/>
      <c r="R14" s="11">
        <v>6.9000000000000006E-2</v>
      </c>
      <c r="S14" s="11">
        <v>0.04</v>
      </c>
      <c r="T14" s="11"/>
      <c r="U14" s="11">
        <v>3.3000000000000002E-2</v>
      </c>
      <c r="W14" s="25">
        <f t="shared" si="0"/>
        <v>0.12500000000000003</v>
      </c>
      <c r="X14" s="25">
        <f t="shared" si="1"/>
        <v>0.14509307357692849</v>
      </c>
      <c r="Y14">
        <f t="shared" si="2"/>
        <v>6</v>
      </c>
    </row>
    <row r="15" spans="1:29">
      <c r="A15" s="3">
        <v>13</v>
      </c>
      <c r="B15" s="3">
        <v>39</v>
      </c>
      <c r="C15" s="6" t="s">
        <v>70</v>
      </c>
      <c r="D15" s="11">
        <v>0.35099999999999998</v>
      </c>
      <c r="E15" s="11"/>
      <c r="F15" s="11"/>
      <c r="G15" s="11"/>
      <c r="H15" s="11"/>
      <c r="I15" s="11">
        <v>0.113</v>
      </c>
      <c r="J15" s="11"/>
      <c r="K15" s="11"/>
      <c r="L15" s="11"/>
      <c r="M15" s="11">
        <v>7.8E-2</v>
      </c>
      <c r="N15" s="11"/>
      <c r="O15" s="11"/>
      <c r="P15" s="11"/>
      <c r="Q15" s="11"/>
      <c r="R15" s="11">
        <v>7.1999999999999995E-2</v>
      </c>
      <c r="S15" s="11">
        <v>0.04</v>
      </c>
      <c r="T15" s="11"/>
      <c r="U15" s="11">
        <v>0.03</v>
      </c>
      <c r="W15" s="25">
        <f t="shared" si="0"/>
        <v>0.11399999999999999</v>
      </c>
      <c r="X15" s="25">
        <f t="shared" si="1"/>
        <v>0.1198015024947517</v>
      </c>
      <c r="Y15">
        <f t="shared" si="2"/>
        <v>6</v>
      </c>
    </row>
    <row r="16" spans="1:29">
      <c r="A16" s="2">
        <v>14</v>
      </c>
      <c r="B16" s="2">
        <v>42</v>
      </c>
      <c r="C16" s="5" t="s">
        <v>69</v>
      </c>
      <c r="D16" s="10">
        <v>0.38700000000000001</v>
      </c>
      <c r="I16">
        <v>0.106</v>
      </c>
      <c r="J16" s="10"/>
      <c r="M16" s="10">
        <v>0.11700000000000001</v>
      </c>
      <c r="P16" s="10"/>
      <c r="Q16" s="20"/>
      <c r="R16" s="20">
        <v>6.9000000000000006E-2</v>
      </c>
      <c r="S16" s="22">
        <v>0.04</v>
      </c>
      <c r="U16" s="20">
        <v>3.5000000000000003E-2</v>
      </c>
      <c r="W16" s="25">
        <f t="shared" si="0"/>
        <v>0.12566666666666668</v>
      </c>
      <c r="X16" s="25">
        <f t="shared" si="1"/>
        <v>0.13230822599773098</v>
      </c>
      <c r="Y16">
        <f t="shared" si="2"/>
        <v>6</v>
      </c>
    </row>
    <row r="17" spans="1:25">
      <c r="A17" s="2">
        <v>15</v>
      </c>
      <c r="B17" s="2">
        <v>45</v>
      </c>
      <c r="C17" s="5" t="s">
        <v>69</v>
      </c>
      <c r="D17" s="10">
        <v>0.374</v>
      </c>
      <c r="I17">
        <v>0.109</v>
      </c>
      <c r="J17" s="10"/>
      <c r="M17" s="10">
        <v>5.2999999999999999E-2</v>
      </c>
      <c r="P17" s="10"/>
      <c r="Q17" s="20"/>
      <c r="R17" s="20">
        <v>6.8000000000000005E-2</v>
      </c>
      <c r="S17" s="22">
        <v>0.04</v>
      </c>
      <c r="U17" s="20">
        <v>3.7999999999999999E-2</v>
      </c>
      <c r="W17" s="25">
        <f t="shared" si="0"/>
        <v>0.11366666666666669</v>
      </c>
      <c r="X17" s="25">
        <f t="shared" si="1"/>
        <v>0.13016399911906001</v>
      </c>
      <c r="Y17">
        <f t="shared" si="2"/>
        <v>6</v>
      </c>
    </row>
    <row r="18" spans="1:25">
      <c r="A18" s="2">
        <v>16</v>
      </c>
      <c r="B18" s="2">
        <v>48</v>
      </c>
      <c r="C18" s="5" t="s">
        <v>69</v>
      </c>
      <c r="D18" s="10">
        <v>0.40699999999999997</v>
      </c>
      <c r="I18">
        <v>9.0999999999999998E-2</v>
      </c>
      <c r="J18" s="10"/>
      <c r="M18" s="10">
        <v>5.2999999999999999E-2</v>
      </c>
      <c r="P18" s="10"/>
      <c r="Q18" s="20"/>
      <c r="R18" s="20">
        <v>6.6000000000000003E-2</v>
      </c>
      <c r="S18" s="22">
        <v>0.04</v>
      </c>
      <c r="U18" s="20">
        <v>4.1000000000000002E-2</v>
      </c>
      <c r="W18" s="25">
        <f t="shared" si="0"/>
        <v>0.11633333333333334</v>
      </c>
      <c r="X18" s="25">
        <f t="shared" si="1"/>
        <v>0.14364910952270696</v>
      </c>
      <c r="Y18">
        <f t="shared" si="2"/>
        <v>6</v>
      </c>
    </row>
    <row r="19" spans="1:25">
      <c r="A19" s="2">
        <v>17</v>
      </c>
      <c r="B19" s="2">
        <v>51</v>
      </c>
      <c r="C19" s="5" t="s">
        <v>69</v>
      </c>
      <c r="D19" s="10">
        <v>0.317</v>
      </c>
      <c r="I19">
        <v>8.6999999999999994E-2</v>
      </c>
      <c r="J19" s="10"/>
      <c r="M19" s="10">
        <v>0.10199999999999999</v>
      </c>
      <c r="P19" s="10"/>
      <c r="Q19" s="20"/>
      <c r="R19" s="20">
        <v>5.8000000000000003E-2</v>
      </c>
      <c r="S19" s="22">
        <v>0.03</v>
      </c>
      <c r="U19" s="20">
        <v>3.2000000000000001E-2</v>
      </c>
      <c r="W19" s="25">
        <f t="shared" si="0"/>
        <v>0.10433333333333335</v>
      </c>
      <c r="X19" s="25">
        <f t="shared" si="1"/>
        <v>0.10810858738632498</v>
      </c>
      <c r="Y19">
        <f t="shared" si="2"/>
        <v>6</v>
      </c>
    </row>
    <row r="20" spans="1:25">
      <c r="A20" s="2">
        <v>18</v>
      </c>
      <c r="B20" s="2">
        <v>54</v>
      </c>
      <c r="C20" s="5" t="s">
        <v>69</v>
      </c>
      <c r="D20" s="10">
        <v>0.27600000000000002</v>
      </c>
      <c r="I20">
        <v>0.08</v>
      </c>
      <c r="J20" s="10"/>
      <c r="M20" s="10">
        <v>0.10199999999999999</v>
      </c>
      <c r="P20" s="10"/>
      <c r="Q20" s="20"/>
      <c r="R20" s="20">
        <v>3.9E-2</v>
      </c>
      <c r="S20" s="22">
        <v>0.03</v>
      </c>
      <c r="U20" s="20">
        <v>1.9E-2</v>
      </c>
      <c r="W20" s="25">
        <f t="shared" si="0"/>
        <v>9.1000000000000011E-2</v>
      </c>
      <c r="X20" s="25">
        <f t="shared" si="1"/>
        <v>9.5995833242906947E-2</v>
      </c>
      <c r="Y20">
        <f t="shared" si="2"/>
        <v>6</v>
      </c>
    </row>
    <row r="21" spans="1:25">
      <c r="A21" s="2">
        <v>19</v>
      </c>
      <c r="B21" s="2">
        <v>57</v>
      </c>
      <c r="C21" s="5" t="s">
        <v>69</v>
      </c>
      <c r="D21" s="10">
        <v>0.254</v>
      </c>
      <c r="I21">
        <v>7.9000000000000001E-2</v>
      </c>
      <c r="J21" s="10"/>
      <c r="M21" s="10">
        <v>4.4999999999999998E-2</v>
      </c>
      <c r="P21" s="10"/>
      <c r="Q21" s="20"/>
      <c r="R21" s="20">
        <v>3.1E-2</v>
      </c>
      <c r="S21" s="22">
        <v>0.02</v>
      </c>
      <c r="U21" s="20">
        <v>1.9E-2</v>
      </c>
      <c r="W21" s="25">
        <f t="shared" si="0"/>
        <v>7.4666666666666673E-2</v>
      </c>
      <c r="X21" s="25">
        <f t="shared" si="1"/>
        <v>9.0612729054292726E-2</v>
      </c>
      <c r="Y21">
        <f t="shared" si="2"/>
        <v>6</v>
      </c>
    </row>
    <row r="22" spans="1:25">
      <c r="A22" s="2">
        <v>20</v>
      </c>
      <c r="B22" s="2">
        <v>60</v>
      </c>
      <c r="C22" s="5" t="s">
        <v>69</v>
      </c>
      <c r="D22" s="10">
        <v>0.23200000000000001</v>
      </c>
      <c r="I22">
        <v>7.4999999999999997E-2</v>
      </c>
      <c r="J22" s="10"/>
      <c r="M22" s="10">
        <v>4.4999999999999998E-2</v>
      </c>
      <c r="P22" s="10"/>
      <c r="Q22" s="20"/>
      <c r="R22" s="20">
        <v>0.03</v>
      </c>
      <c r="S22" s="22">
        <v>0.02</v>
      </c>
      <c r="U22" s="20">
        <v>1.9E-2</v>
      </c>
      <c r="W22" s="25">
        <f t="shared" si="0"/>
        <v>7.0166666666666669E-2</v>
      </c>
      <c r="X22" s="25">
        <f t="shared" si="1"/>
        <v>8.196930319739619E-2</v>
      </c>
      <c r="Y22">
        <f t="shared" si="2"/>
        <v>6</v>
      </c>
    </row>
    <row r="23" spans="1:25">
      <c r="A23" s="3">
        <v>21</v>
      </c>
      <c r="B23" s="3">
        <v>63</v>
      </c>
      <c r="C23" s="6" t="s">
        <v>71</v>
      </c>
      <c r="D23" s="11">
        <v>0.182</v>
      </c>
      <c r="E23" s="11"/>
      <c r="F23" s="11"/>
      <c r="G23" s="11"/>
      <c r="H23" s="11"/>
      <c r="I23" s="11">
        <v>7.5999999999999998E-2</v>
      </c>
      <c r="J23" s="11"/>
      <c r="K23" s="11"/>
      <c r="L23" s="11"/>
      <c r="M23" s="11">
        <v>4.4999999999999998E-2</v>
      </c>
      <c r="N23" s="11"/>
      <c r="O23" s="11"/>
      <c r="P23" s="11"/>
      <c r="Q23" s="11"/>
      <c r="R23" s="11">
        <v>3.5000000000000003E-2</v>
      </c>
      <c r="S23" s="11">
        <v>0.02</v>
      </c>
      <c r="T23" s="11"/>
      <c r="U23" s="11">
        <v>1.9E-2</v>
      </c>
      <c r="W23" s="25">
        <f t="shared" si="0"/>
        <v>6.2833333333333338E-2</v>
      </c>
      <c r="X23" s="25">
        <f t="shared" si="1"/>
        <v>6.2004569724066837E-2</v>
      </c>
      <c r="Y23">
        <f t="shared" si="2"/>
        <v>6</v>
      </c>
    </row>
    <row r="24" spans="1:25">
      <c r="A24" s="3">
        <v>22</v>
      </c>
      <c r="B24" s="3">
        <v>66</v>
      </c>
      <c r="C24" s="6" t="s">
        <v>71</v>
      </c>
      <c r="D24" s="11">
        <v>0.40600000000000003</v>
      </c>
      <c r="E24" s="11"/>
      <c r="F24" s="11"/>
      <c r="G24" s="11"/>
      <c r="H24" s="11"/>
      <c r="I24" s="11">
        <v>7.6999999999999999E-2</v>
      </c>
      <c r="J24" s="11"/>
      <c r="K24" s="11"/>
      <c r="L24" s="11"/>
      <c r="M24" s="11">
        <v>4.4999999999999998E-2</v>
      </c>
      <c r="N24" s="11"/>
      <c r="O24" s="11"/>
      <c r="P24" s="11"/>
      <c r="Q24" s="11"/>
      <c r="R24" s="11">
        <v>4.3999999999999997E-2</v>
      </c>
      <c r="S24" s="11">
        <v>0.02</v>
      </c>
      <c r="T24" s="11"/>
      <c r="U24" s="11">
        <v>1.9E-2</v>
      </c>
      <c r="W24" s="25">
        <f t="shared" si="0"/>
        <v>0.10183333333333335</v>
      </c>
      <c r="X24" s="25">
        <f t="shared" si="1"/>
        <v>0.15051035401814278</v>
      </c>
      <c r="Y24">
        <f t="shared" si="2"/>
        <v>6</v>
      </c>
    </row>
    <row r="25" spans="1:25">
      <c r="A25" s="3">
        <v>23</v>
      </c>
      <c r="B25" s="3">
        <v>69</v>
      </c>
      <c r="C25" s="6" t="s">
        <v>71</v>
      </c>
      <c r="D25" s="11">
        <v>0.91</v>
      </c>
      <c r="E25" s="11"/>
      <c r="F25" s="11"/>
      <c r="G25" s="11"/>
      <c r="H25" s="11"/>
      <c r="I25" s="11">
        <v>0.23799999999999999</v>
      </c>
      <c r="J25" s="11"/>
      <c r="K25" s="11"/>
      <c r="L25" s="11"/>
      <c r="M25" s="11">
        <v>0.153</v>
      </c>
      <c r="N25" s="11"/>
      <c r="O25" s="11"/>
      <c r="P25" s="11"/>
      <c r="Q25" s="11"/>
      <c r="R25" s="11">
        <v>0.114</v>
      </c>
      <c r="S25" s="11">
        <v>0.12</v>
      </c>
      <c r="T25" s="11"/>
      <c r="U25" s="11">
        <v>9.4E-2</v>
      </c>
      <c r="W25" s="25">
        <f t="shared" si="0"/>
        <v>0.27150000000000002</v>
      </c>
      <c r="X25" s="25">
        <f t="shared" si="1"/>
        <v>0.31689477748931105</v>
      </c>
      <c r="Y25">
        <f t="shared" si="2"/>
        <v>6</v>
      </c>
    </row>
    <row r="26" spans="1:25">
      <c r="A26" s="2">
        <v>24</v>
      </c>
      <c r="B26" s="2">
        <v>72</v>
      </c>
      <c r="C26" s="5" t="s">
        <v>69</v>
      </c>
      <c r="D26" s="10">
        <v>1.04</v>
      </c>
      <c r="I26">
        <v>0.222</v>
      </c>
      <c r="J26" s="10"/>
      <c r="M26" s="10">
        <v>0.26300000000000001</v>
      </c>
      <c r="P26" s="10"/>
      <c r="Q26" s="20"/>
      <c r="R26" s="20">
        <v>0.13900000000000001</v>
      </c>
      <c r="S26" s="22">
        <v>0.11</v>
      </c>
      <c r="U26" s="20">
        <v>8.3000000000000004E-2</v>
      </c>
      <c r="W26" s="25">
        <f t="shared" si="0"/>
        <v>0.3095</v>
      </c>
      <c r="X26" s="25">
        <f t="shared" si="1"/>
        <v>0.36431346392907304</v>
      </c>
      <c r="Y26">
        <f t="shared" si="2"/>
        <v>6</v>
      </c>
    </row>
    <row r="27" spans="1:25">
      <c r="A27" s="2">
        <v>25</v>
      </c>
      <c r="B27" s="2">
        <v>75</v>
      </c>
      <c r="C27" s="5" t="s">
        <v>69</v>
      </c>
      <c r="D27" s="10">
        <v>0.85799999999999998</v>
      </c>
      <c r="I27">
        <v>0.19900000000000001</v>
      </c>
      <c r="J27" s="10"/>
      <c r="M27" s="10">
        <v>0.17699999999999999</v>
      </c>
      <c r="P27" s="10"/>
      <c r="Q27" s="20"/>
      <c r="R27" s="20">
        <v>0.14099999999999999</v>
      </c>
      <c r="S27" s="22">
        <v>0.1</v>
      </c>
      <c r="U27" s="20">
        <v>0.08</v>
      </c>
      <c r="W27" s="25">
        <f t="shared" si="0"/>
        <v>0.25916666666666671</v>
      </c>
      <c r="X27" s="25">
        <f t="shared" si="1"/>
        <v>0.29677292104682773</v>
      </c>
      <c r="Y27">
        <f t="shared" si="2"/>
        <v>6</v>
      </c>
    </row>
    <row r="28" spans="1:25">
      <c r="A28" s="2">
        <v>26</v>
      </c>
      <c r="B28" s="2">
        <v>78</v>
      </c>
      <c r="C28" s="5" t="s">
        <v>69</v>
      </c>
      <c r="D28" s="10">
        <v>0.64400000000000002</v>
      </c>
      <c r="I28">
        <v>0.14899999999999999</v>
      </c>
      <c r="J28" s="10"/>
      <c r="M28" s="10">
        <v>5.3999999999999999E-2</v>
      </c>
      <c r="P28" s="10"/>
      <c r="Q28" s="20"/>
      <c r="R28" s="20">
        <v>8.4000000000000005E-2</v>
      </c>
      <c r="S28" s="22">
        <v>7.0000000000000007E-2</v>
      </c>
      <c r="U28" s="20">
        <v>0.06</v>
      </c>
      <c r="W28" s="25">
        <f t="shared" si="0"/>
        <v>0.17683333333333337</v>
      </c>
      <c r="X28" s="25">
        <f t="shared" si="1"/>
        <v>0.23142550997387185</v>
      </c>
      <c r="Y28">
        <f t="shared" si="2"/>
        <v>6</v>
      </c>
    </row>
    <row r="29" spans="1:25">
      <c r="A29" s="2">
        <v>27</v>
      </c>
      <c r="B29" s="2">
        <v>81</v>
      </c>
      <c r="C29" s="5" t="s">
        <v>69</v>
      </c>
      <c r="D29" s="10">
        <v>0.379</v>
      </c>
      <c r="I29">
        <v>0.10100000000000001</v>
      </c>
      <c r="J29" s="10"/>
      <c r="M29" s="10">
        <v>0.121</v>
      </c>
      <c r="P29" s="10"/>
      <c r="Q29" s="20"/>
      <c r="R29" s="20">
        <v>5.2999999999999999E-2</v>
      </c>
      <c r="S29" s="22">
        <v>0.03</v>
      </c>
      <c r="U29" s="20">
        <v>8.0000000000000002E-3</v>
      </c>
      <c r="W29" s="25">
        <f t="shared" si="0"/>
        <v>0.11533333333333334</v>
      </c>
      <c r="X29" s="25">
        <f t="shared" si="1"/>
        <v>0.13597450741468661</v>
      </c>
      <c r="Y29">
        <f t="shared" si="2"/>
        <v>6</v>
      </c>
    </row>
    <row r="30" spans="1:25">
      <c r="A30" s="2">
        <v>28</v>
      </c>
      <c r="B30" s="2">
        <v>84</v>
      </c>
      <c r="C30" s="5" t="s">
        <v>69</v>
      </c>
      <c r="D30" s="10">
        <v>0.29199999999999998</v>
      </c>
      <c r="I30">
        <v>8.6999999999999994E-2</v>
      </c>
      <c r="J30" s="10"/>
      <c r="M30" s="10">
        <v>4.1000000000000002E-2</v>
      </c>
      <c r="P30" s="10"/>
      <c r="Q30" s="20"/>
      <c r="R30" s="20">
        <v>3.6999999999999998E-2</v>
      </c>
      <c r="S30" s="22">
        <v>0.01</v>
      </c>
      <c r="U30" s="20">
        <v>1.9E-2</v>
      </c>
      <c r="W30" s="25">
        <f t="shared" si="0"/>
        <v>8.1000000000000003E-2</v>
      </c>
      <c r="X30" s="25">
        <f t="shared" si="1"/>
        <v>0.1067501756438836</v>
      </c>
      <c r="Y30">
        <f t="shared" si="2"/>
        <v>6</v>
      </c>
    </row>
    <row r="31" spans="1:25">
      <c r="A31" s="2">
        <v>29</v>
      </c>
      <c r="B31" s="2">
        <v>87</v>
      </c>
      <c r="C31" s="5" t="s">
        <v>69</v>
      </c>
      <c r="D31" s="10">
        <v>0.24399999999999999</v>
      </c>
      <c r="I31">
        <v>6.7000000000000004E-2</v>
      </c>
      <c r="J31" s="10"/>
      <c r="M31" s="10">
        <v>6.0999999999999999E-2</v>
      </c>
      <c r="P31" s="10"/>
      <c r="Q31" s="20"/>
      <c r="R31" s="20">
        <v>0.03</v>
      </c>
      <c r="S31" s="22">
        <v>0.02</v>
      </c>
      <c r="U31" s="20">
        <v>1.9E-2</v>
      </c>
      <c r="W31" s="25">
        <f t="shared" si="0"/>
        <v>7.350000000000001E-2</v>
      </c>
      <c r="X31" s="25">
        <f t="shared" si="1"/>
        <v>8.6015696242023168E-2</v>
      </c>
      <c r="Y31">
        <f t="shared" si="2"/>
        <v>6</v>
      </c>
    </row>
    <row r="32" spans="1:25">
      <c r="A32" s="2">
        <v>30</v>
      </c>
      <c r="B32" s="2">
        <v>90</v>
      </c>
      <c r="C32" s="5" t="s">
        <v>69</v>
      </c>
      <c r="D32" s="10">
        <v>0.223</v>
      </c>
      <c r="I32">
        <v>6.4000000000000001E-2</v>
      </c>
      <c r="J32" s="10"/>
      <c r="M32" s="10">
        <v>6.0999999999999999E-2</v>
      </c>
      <c r="P32" s="10"/>
      <c r="Q32" s="20"/>
      <c r="R32" s="20">
        <v>0.04</v>
      </c>
      <c r="S32" s="22">
        <v>0.01</v>
      </c>
      <c r="U32" s="20">
        <v>1.4999999999999999E-2</v>
      </c>
      <c r="W32" s="25">
        <f t="shared" si="0"/>
        <v>6.8833333333333344E-2</v>
      </c>
      <c r="X32" s="25">
        <f t="shared" si="1"/>
        <v>7.8794458349979585E-2</v>
      </c>
      <c r="Y32">
        <f t="shared" si="2"/>
        <v>6</v>
      </c>
    </row>
    <row r="33" spans="1:25">
      <c r="A33" s="3">
        <v>31</v>
      </c>
      <c r="B33" s="3">
        <v>93</v>
      </c>
      <c r="C33" s="6" t="s">
        <v>72</v>
      </c>
      <c r="D33" s="11">
        <v>0.20499999999999999</v>
      </c>
      <c r="E33" s="11"/>
      <c r="F33" s="11"/>
      <c r="G33" s="11"/>
      <c r="H33" s="11"/>
      <c r="I33" s="11">
        <v>6.2E-2</v>
      </c>
      <c r="J33" s="11"/>
      <c r="K33" s="11"/>
      <c r="L33" s="11"/>
      <c r="M33" s="12">
        <v>6.0999999999999999E-2</v>
      </c>
      <c r="N33" s="11"/>
      <c r="O33" s="11"/>
      <c r="P33" s="11"/>
      <c r="Q33" s="11"/>
      <c r="R33" s="11">
        <v>3.1E-2</v>
      </c>
      <c r="S33" s="11">
        <v>0.01</v>
      </c>
      <c r="T33" s="11"/>
      <c r="U33" s="11">
        <v>1.9E-2</v>
      </c>
      <c r="W33" s="25">
        <f t="shared" si="0"/>
        <v>6.4666666666666664E-2</v>
      </c>
      <c r="X33" s="25">
        <f t="shared" si="1"/>
        <v>7.2001851828037491E-2</v>
      </c>
      <c r="Y33">
        <f t="shared" si="2"/>
        <v>6</v>
      </c>
    </row>
    <row r="34" spans="1:25">
      <c r="A34" s="3">
        <v>32</v>
      </c>
      <c r="B34" s="3">
        <v>96</v>
      </c>
      <c r="C34" s="6" t="s">
        <v>72</v>
      </c>
      <c r="D34" s="11">
        <v>0.17799999999999999</v>
      </c>
      <c r="E34" s="11"/>
      <c r="F34" s="11"/>
      <c r="G34" s="11"/>
      <c r="H34" s="11"/>
      <c r="I34" s="11">
        <v>4.4999999999999998E-2</v>
      </c>
      <c r="J34" s="11"/>
      <c r="K34" s="11"/>
      <c r="L34" s="11"/>
      <c r="M34" s="12">
        <v>6.0999999999999999E-2</v>
      </c>
      <c r="N34" s="11"/>
      <c r="O34" s="11"/>
      <c r="P34" s="11"/>
      <c r="Q34" s="11"/>
      <c r="R34" s="11">
        <v>0.03</v>
      </c>
      <c r="S34" s="11">
        <v>0.01</v>
      </c>
      <c r="T34" s="11"/>
      <c r="U34" s="11">
        <v>6.2E-2</v>
      </c>
      <c r="W34" s="25">
        <f t="shared" si="0"/>
        <v>6.4333333333333326E-2</v>
      </c>
      <c r="X34" s="25">
        <f t="shared" si="1"/>
        <v>5.9061549815989996E-2</v>
      </c>
      <c r="Y34">
        <f t="shared" si="2"/>
        <v>6</v>
      </c>
    </row>
    <row r="35" spans="1:25">
      <c r="A35" s="3">
        <v>33</v>
      </c>
      <c r="B35" s="3">
        <v>99</v>
      </c>
      <c r="C35" s="6" t="s">
        <v>72</v>
      </c>
      <c r="D35" s="11">
        <v>0.12</v>
      </c>
      <c r="E35" s="11"/>
      <c r="F35" s="11"/>
      <c r="G35" s="11"/>
      <c r="H35" s="11"/>
      <c r="I35" s="11">
        <v>2.4E-2</v>
      </c>
      <c r="J35" s="11"/>
      <c r="K35" s="11"/>
      <c r="L35" s="11"/>
      <c r="M35" s="12">
        <v>3.7999999999999999E-2</v>
      </c>
      <c r="N35" s="11"/>
      <c r="O35" s="11"/>
      <c r="P35" s="11"/>
      <c r="Q35" s="11"/>
      <c r="R35" s="11">
        <v>2.1000000000000001E-2</v>
      </c>
      <c r="S35" s="11">
        <v>0</v>
      </c>
      <c r="T35" s="11"/>
      <c r="U35" s="11">
        <v>1.9E-2</v>
      </c>
      <c r="W35" s="25">
        <f t="shared" si="0"/>
        <v>3.6999999999999998E-2</v>
      </c>
      <c r="X35" s="25">
        <f t="shared" si="1"/>
        <v>4.2445258863623402E-2</v>
      </c>
      <c r="Y35">
        <f t="shared" si="2"/>
        <v>6</v>
      </c>
    </row>
    <row r="36" spans="1:25">
      <c r="A36" s="2">
        <v>34</v>
      </c>
      <c r="B36" s="2">
        <v>102</v>
      </c>
      <c r="C36" s="5" t="s">
        <v>69</v>
      </c>
      <c r="D36" s="10">
        <v>0.11799999999999999</v>
      </c>
      <c r="I36">
        <v>1.0999999999999999E-2</v>
      </c>
      <c r="J36" s="10"/>
      <c r="M36" s="10">
        <v>7.4999999999999997E-2</v>
      </c>
      <c r="P36" s="10"/>
      <c r="Q36" s="20"/>
      <c r="R36" s="20">
        <v>1.4999999999999999E-2</v>
      </c>
      <c r="S36" s="22">
        <v>0</v>
      </c>
      <c r="U36" s="20">
        <v>1.9E-2</v>
      </c>
      <c r="W36" s="25">
        <f t="shared" si="0"/>
        <v>3.966666666666667E-2</v>
      </c>
      <c r="X36" s="25">
        <f t="shared" si="1"/>
        <v>4.6508780532998992E-2</v>
      </c>
      <c r="Y36">
        <f t="shared" si="2"/>
        <v>6</v>
      </c>
    </row>
    <row r="37" spans="1:25">
      <c r="A37" s="2">
        <v>35</v>
      </c>
      <c r="B37" s="2">
        <v>105</v>
      </c>
      <c r="C37" s="5" t="s">
        <v>69</v>
      </c>
      <c r="D37" s="10">
        <v>0.16700000000000001</v>
      </c>
      <c r="I37">
        <v>0.01</v>
      </c>
      <c r="J37" s="10"/>
      <c r="M37" s="10">
        <v>6.0999999999999999E-2</v>
      </c>
      <c r="P37" s="10"/>
      <c r="Q37" s="20"/>
      <c r="R37" s="20">
        <v>3.1E-2</v>
      </c>
      <c r="S37" s="22">
        <v>0</v>
      </c>
      <c r="U37" s="20">
        <v>1.9E-2</v>
      </c>
      <c r="W37" s="25">
        <f t="shared" si="0"/>
        <v>4.8000000000000008E-2</v>
      </c>
      <c r="X37" s="25">
        <f t="shared" si="1"/>
        <v>6.1980642139300227E-2</v>
      </c>
      <c r="Y37">
        <f t="shared" si="2"/>
        <v>6</v>
      </c>
    </row>
    <row r="38" spans="1:25">
      <c r="A38" s="2">
        <v>36</v>
      </c>
      <c r="B38" s="2">
        <v>108</v>
      </c>
      <c r="C38" s="5" t="s">
        <v>69</v>
      </c>
      <c r="D38" s="10">
        <v>9.2999999999999999E-2</v>
      </c>
      <c r="I38">
        <v>2.5999999999999999E-2</v>
      </c>
      <c r="J38" s="10"/>
      <c r="M38" s="10">
        <v>6.0999999999999999E-2</v>
      </c>
      <c r="P38" s="10"/>
      <c r="Q38" s="20"/>
      <c r="R38" s="20">
        <v>1.4999999999999999E-2</v>
      </c>
      <c r="S38" s="22">
        <v>0</v>
      </c>
      <c r="U38" s="20">
        <v>1.9E-2</v>
      </c>
      <c r="W38" s="25">
        <f t="shared" si="0"/>
        <v>3.5666666666666666E-2</v>
      </c>
      <c r="X38" s="25">
        <f t="shared" si="1"/>
        <v>3.4639091597018917E-2</v>
      </c>
      <c r="Y38">
        <f t="shared" si="2"/>
        <v>6</v>
      </c>
    </row>
    <row r="39" spans="1:25">
      <c r="A39" s="2">
        <v>37</v>
      </c>
      <c r="B39" s="2">
        <v>111</v>
      </c>
      <c r="C39" s="5" t="s">
        <v>69</v>
      </c>
      <c r="D39" s="10">
        <v>7.5999999999999998E-2</v>
      </c>
      <c r="I39">
        <v>4.4999999999999998E-2</v>
      </c>
      <c r="J39" s="10"/>
      <c r="M39" s="10">
        <v>0.111</v>
      </c>
      <c r="P39" s="10"/>
      <c r="Q39" s="20"/>
      <c r="R39" s="20">
        <v>3.3000000000000002E-2</v>
      </c>
      <c r="S39" s="22">
        <v>0.01</v>
      </c>
      <c r="U39" s="20">
        <v>3.5000000000000003E-2</v>
      </c>
      <c r="W39" s="25">
        <f t="shared" si="0"/>
        <v>5.1666666666666673E-2</v>
      </c>
      <c r="X39" s="25">
        <f t="shared" si="1"/>
        <v>3.6109093960755449E-2</v>
      </c>
      <c r="Y39">
        <f t="shared" si="2"/>
        <v>6</v>
      </c>
    </row>
    <row r="40" spans="1:25">
      <c r="A40" s="2">
        <v>38</v>
      </c>
      <c r="B40" s="2">
        <v>114</v>
      </c>
      <c r="C40" s="5" t="s">
        <v>69</v>
      </c>
      <c r="D40" s="10">
        <v>0.122</v>
      </c>
      <c r="I40">
        <v>6.9000000000000006E-2</v>
      </c>
      <c r="J40" s="10"/>
      <c r="M40" s="10">
        <v>4.5999999999999999E-2</v>
      </c>
      <c r="P40" s="10"/>
      <c r="Q40" s="20"/>
      <c r="R40" s="20">
        <v>3.6999999999999998E-2</v>
      </c>
      <c r="S40" s="22">
        <v>0.01</v>
      </c>
      <c r="U40" s="20">
        <v>1.9E-2</v>
      </c>
      <c r="W40" s="25">
        <f t="shared" si="0"/>
        <v>5.0499999999999996E-2</v>
      </c>
      <c r="X40" s="25">
        <f t="shared" si="1"/>
        <v>4.071731818280766E-2</v>
      </c>
      <c r="Y40">
        <f t="shared" si="2"/>
        <v>6</v>
      </c>
    </row>
    <row r="41" spans="1:25">
      <c r="A41" s="2">
        <v>39</v>
      </c>
      <c r="B41" s="2">
        <v>117</v>
      </c>
      <c r="C41" s="5" t="s">
        <v>69</v>
      </c>
      <c r="D41" s="10">
        <v>0.10100000000000001</v>
      </c>
      <c r="I41">
        <v>5.8999999999999997E-2</v>
      </c>
      <c r="J41" s="10"/>
      <c r="M41" s="10">
        <v>0.104</v>
      </c>
      <c r="P41" s="10"/>
      <c r="Q41" s="20"/>
      <c r="R41" s="20">
        <v>2.7E-2</v>
      </c>
      <c r="S41" s="22">
        <v>0.01</v>
      </c>
      <c r="U41" s="20">
        <v>1.9E-2</v>
      </c>
      <c r="W41" s="25">
        <f t="shared" si="0"/>
        <v>5.3333333333333344E-2</v>
      </c>
      <c r="X41" s="25">
        <f t="shared" si="1"/>
        <v>4.1524290080224908E-2</v>
      </c>
      <c r="Y41">
        <f t="shared" si="2"/>
        <v>6</v>
      </c>
    </row>
    <row r="42" spans="1:25">
      <c r="A42" s="2">
        <v>40</v>
      </c>
      <c r="B42" s="2">
        <v>120</v>
      </c>
      <c r="C42" s="5" t="s">
        <v>69</v>
      </c>
      <c r="D42" s="10">
        <v>0.126</v>
      </c>
      <c r="I42">
        <v>5.6000000000000001E-2</v>
      </c>
      <c r="J42" s="10"/>
      <c r="M42" s="10">
        <v>0.104</v>
      </c>
      <c r="P42" s="10"/>
      <c r="Q42" s="20"/>
      <c r="R42" s="20">
        <v>2.5000000000000001E-2</v>
      </c>
      <c r="S42" s="22">
        <v>0.01</v>
      </c>
      <c r="U42" s="20">
        <v>1.9E-2</v>
      </c>
      <c r="W42" s="25">
        <f t="shared" si="0"/>
        <v>5.6666666666666671E-2</v>
      </c>
      <c r="X42" s="25">
        <f t="shared" si="1"/>
        <v>4.826454875648032E-2</v>
      </c>
      <c r="Y42">
        <f t="shared" si="2"/>
        <v>6</v>
      </c>
    </row>
    <row r="43" spans="1:25">
      <c r="A43" s="3">
        <v>41</v>
      </c>
      <c r="B43" s="3">
        <v>123</v>
      </c>
      <c r="C43" s="7" t="s">
        <v>73</v>
      </c>
      <c r="D43" s="11">
        <v>9.5000000000000001E-2</v>
      </c>
      <c r="E43" s="11"/>
      <c r="F43" s="11"/>
      <c r="G43" s="11"/>
      <c r="H43" s="11"/>
      <c r="I43" s="11">
        <v>6.6000000000000003E-2</v>
      </c>
      <c r="J43" s="11"/>
      <c r="K43" s="11"/>
      <c r="L43" s="11"/>
      <c r="M43" s="11">
        <v>0.104</v>
      </c>
      <c r="N43" s="11"/>
      <c r="O43" s="11"/>
      <c r="P43" s="11"/>
      <c r="Q43" s="11"/>
      <c r="R43" s="11">
        <v>2.9000000000000001E-2</v>
      </c>
      <c r="S43" s="11">
        <v>0.01</v>
      </c>
      <c r="T43" s="11"/>
      <c r="U43" s="11">
        <v>1.9E-2</v>
      </c>
      <c r="W43" s="25">
        <f t="shared" si="0"/>
        <v>5.3833333333333344E-2</v>
      </c>
      <c r="X43" s="25">
        <f t="shared" si="1"/>
        <v>4.027613023450323E-2</v>
      </c>
      <c r="Y43">
        <f t="shared" si="2"/>
        <v>6</v>
      </c>
    </row>
    <row r="44" spans="1:25">
      <c r="A44" s="3">
        <v>42</v>
      </c>
      <c r="B44" s="3">
        <v>126</v>
      </c>
      <c r="C44" s="7" t="s">
        <v>73</v>
      </c>
      <c r="D44" s="11">
        <v>0.23499999999999999</v>
      </c>
      <c r="E44" s="11"/>
      <c r="F44" s="11"/>
      <c r="G44" s="11"/>
      <c r="H44" s="11"/>
      <c r="I44" s="11">
        <v>9.1999999999999998E-2</v>
      </c>
      <c r="J44" s="11"/>
      <c r="K44" s="11"/>
      <c r="L44" s="11"/>
      <c r="M44" s="11">
        <v>4.0000000000000001E-3</v>
      </c>
      <c r="N44" s="11"/>
      <c r="O44" s="11"/>
      <c r="P44" s="11"/>
      <c r="Q44" s="11"/>
      <c r="R44" s="11">
        <v>0.05</v>
      </c>
      <c r="S44" s="11">
        <v>0.05</v>
      </c>
      <c r="T44" s="11"/>
      <c r="U44" s="11">
        <v>9.1999999999999998E-2</v>
      </c>
      <c r="W44" s="25">
        <f t="shared" si="0"/>
        <v>8.7166666666666656E-2</v>
      </c>
      <c r="X44" s="25">
        <f t="shared" si="1"/>
        <v>7.9474314508944779E-2</v>
      </c>
      <c r="Y44">
        <f t="shared" si="2"/>
        <v>6</v>
      </c>
    </row>
    <row r="45" spans="1:25">
      <c r="A45" s="3">
        <v>43</v>
      </c>
      <c r="B45" s="3">
        <v>129</v>
      </c>
      <c r="C45" s="7" t="s">
        <v>73</v>
      </c>
      <c r="D45" s="11">
        <v>0.35199999999999998</v>
      </c>
      <c r="E45" s="11"/>
      <c r="F45" s="11"/>
      <c r="G45" s="11"/>
      <c r="H45" s="11"/>
      <c r="I45" s="11">
        <v>0.13800000000000001</v>
      </c>
      <c r="J45" s="11"/>
      <c r="K45" s="11"/>
      <c r="L45" s="11"/>
      <c r="M45" s="11">
        <v>0.312</v>
      </c>
      <c r="N45" s="11"/>
      <c r="O45" s="11"/>
      <c r="P45" s="11"/>
      <c r="Q45" s="11"/>
      <c r="R45" s="11">
        <v>0.16</v>
      </c>
      <c r="S45" s="11">
        <v>0.05</v>
      </c>
      <c r="T45" s="11"/>
      <c r="U45" s="11">
        <v>0.125</v>
      </c>
      <c r="W45" s="25">
        <f t="shared" si="0"/>
        <v>0.1895</v>
      </c>
      <c r="X45" s="25">
        <f t="shared" si="1"/>
        <v>0.11709440635658051</v>
      </c>
      <c r="Y45">
        <f t="shared" si="2"/>
        <v>6</v>
      </c>
    </row>
    <row r="46" spans="1:25">
      <c r="A46" s="2">
        <v>44</v>
      </c>
      <c r="B46" s="2">
        <v>132</v>
      </c>
      <c r="C46" s="5" t="s">
        <v>69</v>
      </c>
      <c r="D46" s="10">
        <v>0.221</v>
      </c>
      <c r="I46">
        <v>9.4E-2</v>
      </c>
      <c r="J46" s="10"/>
      <c r="M46" s="10">
        <v>0.27100000000000002</v>
      </c>
      <c r="P46" s="10"/>
      <c r="Q46" s="20"/>
      <c r="R46" s="20">
        <v>7.6999999999999999E-2</v>
      </c>
      <c r="S46" s="22">
        <v>0.03</v>
      </c>
      <c r="U46" s="20">
        <v>4.1000000000000002E-2</v>
      </c>
      <c r="W46" s="25">
        <f t="shared" si="0"/>
        <v>0.12233333333333335</v>
      </c>
      <c r="X46" s="25">
        <f t="shared" si="1"/>
        <v>9.9835197534069428E-2</v>
      </c>
      <c r="Y46">
        <f t="shared" si="2"/>
        <v>6</v>
      </c>
    </row>
    <row r="47" spans="1:25">
      <c r="A47" s="2">
        <v>45</v>
      </c>
      <c r="B47" s="2">
        <v>135</v>
      </c>
      <c r="C47" s="5" t="s">
        <v>69</v>
      </c>
      <c r="D47" s="10">
        <v>0.17699999999999999</v>
      </c>
      <c r="I47">
        <v>6.9000000000000006E-2</v>
      </c>
      <c r="J47" s="10"/>
      <c r="M47" s="10">
        <v>9.4E-2</v>
      </c>
      <c r="P47" s="10"/>
      <c r="Q47" s="20"/>
      <c r="R47" s="20">
        <v>6.4000000000000001E-2</v>
      </c>
      <c r="S47" s="22">
        <v>0.02</v>
      </c>
      <c r="U47" s="20">
        <v>3.7999999999999999E-2</v>
      </c>
      <c r="W47" s="25">
        <f t="shared" si="0"/>
        <v>7.6999999999999999E-2</v>
      </c>
      <c r="X47" s="25">
        <f t="shared" si="1"/>
        <v>5.5302802822280173E-2</v>
      </c>
      <c r="Y47">
        <f t="shared" si="2"/>
        <v>6</v>
      </c>
    </row>
    <row r="48" spans="1:25">
      <c r="A48" s="2">
        <v>46</v>
      </c>
      <c r="B48" s="2">
        <v>138</v>
      </c>
      <c r="C48" s="5" t="s">
        <v>69</v>
      </c>
      <c r="D48" s="10">
        <v>0.1</v>
      </c>
      <c r="I48">
        <v>2.7E-2</v>
      </c>
      <c r="J48" s="10"/>
      <c r="M48" s="10">
        <v>9.4E-2</v>
      </c>
      <c r="P48" s="10"/>
      <c r="Q48" s="20"/>
      <c r="R48" s="20">
        <v>2.1999999999999999E-2</v>
      </c>
      <c r="S48" s="22">
        <v>0.01</v>
      </c>
      <c r="U48" s="20">
        <v>1.9E-2</v>
      </c>
      <c r="W48" s="25">
        <f t="shared" si="0"/>
        <v>4.5333333333333337E-2</v>
      </c>
      <c r="X48" s="25">
        <f t="shared" si="1"/>
        <v>4.0445848571474756E-2</v>
      </c>
      <c r="Y48">
        <f t="shared" si="2"/>
        <v>6</v>
      </c>
    </row>
    <row r="49" spans="1:25">
      <c r="A49" s="2">
        <v>47</v>
      </c>
      <c r="B49" s="2">
        <v>141</v>
      </c>
      <c r="C49" s="5" t="s">
        <v>69</v>
      </c>
      <c r="D49" s="10">
        <v>7.3999999999999996E-2</v>
      </c>
      <c r="I49">
        <v>0.03</v>
      </c>
      <c r="J49" s="10"/>
      <c r="M49" s="10">
        <v>0.107</v>
      </c>
      <c r="P49" s="10"/>
      <c r="Q49" s="20"/>
      <c r="R49" s="20">
        <v>1.6E-2</v>
      </c>
      <c r="S49" s="22">
        <v>0</v>
      </c>
      <c r="U49" s="20">
        <v>1.9E-2</v>
      </c>
      <c r="W49" s="25">
        <f t="shared" si="0"/>
        <v>4.0999999999999995E-2</v>
      </c>
      <c r="X49" s="25">
        <f t="shared" si="1"/>
        <v>4.0880313110346893E-2</v>
      </c>
      <c r="Y49">
        <f t="shared" si="2"/>
        <v>6</v>
      </c>
    </row>
    <row r="50" spans="1:25">
      <c r="A50" s="2">
        <v>48</v>
      </c>
      <c r="B50" s="2">
        <v>144</v>
      </c>
      <c r="C50" s="5" t="s">
        <v>69</v>
      </c>
      <c r="D50" s="10">
        <v>9.5000000000000001E-2</v>
      </c>
      <c r="I50">
        <v>0.06</v>
      </c>
      <c r="J50" s="10"/>
      <c r="M50" s="10">
        <v>2.5999999999999999E-2</v>
      </c>
      <c r="P50" s="10"/>
      <c r="Q50" s="20"/>
      <c r="R50" s="20">
        <v>0.03</v>
      </c>
      <c r="S50" s="22">
        <v>0.01</v>
      </c>
      <c r="U50" s="20">
        <v>1.9E-2</v>
      </c>
      <c r="W50" s="25">
        <f t="shared" si="0"/>
        <v>0.04</v>
      </c>
      <c r="X50" s="25">
        <f t="shared" si="1"/>
        <v>3.1818233766191362E-2</v>
      </c>
      <c r="Y50">
        <f t="shared" si="2"/>
        <v>6</v>
      </c>
    </row>
    <row r="51" spans="1:25">
      <c r="A51" s="2">
        <v>49</v>
      </c>
      <c r="B51" s="2">
        <v>147</v>
      </c>
      <c r="C51" s="5" t="s">
        <v>69</v>
      </c>
      <c r="D51" s="10">
        <v>0.1</v>
      </c>
      <c r="I51">
        <v>5.5E-2</v>
      </c>
      <c r="J51" s="10"/>
      <c r="M51" s="10">
        <v>9.6000000000000002E-2</v>
      </c>
      <c r="P51" s="10"/>
      <c r="Q51" s="20"/>
      <c r="R51" s="20">
        <v>0.04</v>
      </c>
      <c r="S51" s="22">
        <v>0.01</v>
      </c>
      <c r="U51" s="20">
        <v>1.9E-2</v>
      </c>
      <c r="W51" s="25">
        <f t="shared" si="0"/>
        <v>5.3333333333333337E-2</v>
      </c>
      <c r="X51" s="25">
        <f t="shared" si="1"/>
        <v>3.8040329476315887E-2</v>
      </c>
      <c r="Y51">
        <f t="shared" si="2"/>
        <v>6</v>
      </c>
    </row>
    <row r="52" spans="1:25" ht="17.100000000000001" thickBot="1">
      <c r="A52" s="4">
        <v>50</v>
      </c>
      <c r="B52" s="4">
        <v>150</v>
      </c>
      <c r="C52" s="8" t="s">
        <v>69</v>
      </c>
      <c r="D52" s="13">
        <v>0.124</v>
      </c>
      <c r="E52" s="13"/>
      <c r="F52" s="13"/>
      <c r="G52" s="13"/>
      <c r="H52" s="13"/>
      <c r="I52" s="13">
        <v>5.8000000000000003E-2</v>
      </c>
      <c r="J52" s="13"/>
      <c r="K52" s="13"/>
      <c r="L52" s="13"/>
      <c r="M52" s="13">
        <v>3.9E-2</v>
      </c>
      <c r="N52" s="13"/>
      <c r="O52" s="13"/>
      <c r="P52" s="13"/>
      <c r="Q52" s="13"/>
      <c r="R52" s="13">
        <v>3.3000000000000002E-2</v>
      </c>
      <c r="S52" s="13">
        <v>0.01</v>
      </c>
      <c r="T52" s="13"/>
      <c r="U52" s="13">
        <v>1.9E-2</v>
      </c>
      <c r="W52" s="25">
        <f t="shared" si="0"/>
        <v>4.7166666666666669E-2</v>
      </c>
      <c r="X52" s="25">
        <f t="shared" si="1"/>
        <v>4.114081509482604E-2</v>
      </c>
      <c r="Y52">
        <f t="shared" si="2"/>
        <v>6</v>
      </c>
    </row>
    <row r="54" spans="1:25">
      <c r="A54" t="s">
        <v>74</v>
      </c>
    </row>
    <row r="55" spans="1:25">
      <c r="A55" s="9" t="s">
        <v>12</v>
      </c>
      <c r="B55" s="9" t="s">
        <v>14</v>
      </c>
    </row>
    <row r="56" spans="1:25">
      <c r="A56" s="2">
        <v>1</v>
      </c>
      <c r="B56" t="s">
        <v>21</v>
      </c>
    </row>
    <row r="57" spans="1:25">
      <c r="A57" s="2">
        <v>2</v>
      </c>
      <c r="B57" s="17" t="s">
        <v>24</v>
      </c>
      <c r="E57" t="s">
        <v>75</v>
      </c>
    </row>
    <row r="58" spans="1:25">
      <c r="A58" s="2">
        <v>3</v>
      </c>
      <c r="B58" s="17" t="s">
        <v>28</v>
      </c>
      <c r="E58" t="s">
        <v>75</v>
      </c>
    </row>
    <row r="59" spans="1:25">
      <c r="A59" s="2">
        <v>4</v>
      </c>
      <c r="B59" s="17" t="s">
        <v>30</v>
      </c>
      <c r="E59" t="s">
        <v>75</v>
      </c>
    </row>
    <row r="60" spans="1:25">
      <c r="A60" s="2">
        <v>5</v>
      </c>
      <c r="B60" s="17" t="s">
        <v>32</v>
      </c>
      <c r="E60" t="s">
        <v>75</v>
      </c>
    </row>
    <row r="61" spans="1:25">
      <c r="A61" s="2">
        <v>6</v>
      </c>
      <c r="B61" t="s">
        <v>34</v>
      </c>
    </row>
    <row r="62" spans="1:25">
      <c r="A62" s="2">
        <v>7</v>
      </c>
      <c r="B62" s="16" t="s">
        <v>36</v>
      </c>
      <c r="E62" t="s">
        <v>76</v>
      </c>
    </row>
    <row r="63" spans="1:25">
      <c r="A63" s="2">
        <v>8</v>
      </c>
      <c r="B63" s="17" t="s">
        <v>38</v>
      </c>
      <c r="E63" t="s">
        <v>75</v>
      </c>
    </row>
    <row r="64" spans="1:25">
      <c r="A64" s="2">
        <v>9</v>
      </c>
      <c r="B64" s="17" t="s">
        <v>39</v>
      </c>
      <c r="E64" t="s">
        <v>75</v>
      </c>
    </row>
    <row r="65" spans="1:5">
      <c r="A65" s="2">
        <v>10</v>
      </c>
      <c r="B65" t="s">
        <v>40</v>
      </c>
    </row>
    <row r="66" spans="1:5">
      <c r="A66" s="2">
        <v>11</v>
      </c>
      <c r="B66" s="17" t="s">
        <v>44</v>
      </c>
      <c r="E66" t="s">
        <v>58</v>
      </c>
    </row>
    <row r="67" spans="1:5">
      <c r="A67" s="2">
        <v>12</v>
      </c>
      <c r="B67" s="17" t="s">
        <v>46</v>
      </c>
      <c r="E67" t="s">
        <v>77</v>
      </c>
    </row>
    <row r="68" spans="1:5">
      <c r="A68" s="2">
        <v>13</v>
      </c>
      <c r="B68" s="19" t="s">
        <v>48</v>
      </c>
      <c r="E68" t="s">
        <v>76</v>
      </c>
    </row>
    <row r="69" spans="1:5">
      <c r="A69" s="2"/>
    </row>
    <row r="70" spans="1:5">
      <c r="A70" s="5" t="s">
        <v>78</v>
      </c>
    </row>
    <row r="71" spans="1:5">
      <c r="A71" s="9" t="s">
        <v>12</v>
      </c>
      <c r="B71" s="9" t="s">
        <v>14</v>
      </c>
    </row>
    <row r="72" spans="1:5">
      <c r="A72" s="2">
        <v>14</v>
      </c>
      <c r="B72" s="19" t="s">
        <v>79</v>
      </c>
      <c r="E72" t="s">
        <v>76</v>
      </c>
    </row>
    <row r="73" spans="1:5">
      <c r="A73" s="2">
        <v>15</v>
      </c>
      <c r="B73" t="s">
        <v>80</v>
      </c>
    </row>
    <row r="74" spans="1:5">
      <c r="A74" s="2">
        <v>16</v>
      </c>
      <c r="B74" t="s">
        <v>81</v>
      </c>
    </row>
    <row r="75" spans="1:5">
      <c r="A75" s="2">
        <v>17</v>
      </c>
      <c r="B75" s="17" t="s">
        <v>82</v>
      </c>
      <c r="E75" t="s">
        <v>58</v>
      </c>
    </row>
    <row r="76" spans="1:5">
      <c r="A76" s="2">
        <v>18</v>
      </c>
      <c r="B76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18D1-D2F5-2E42-A5E5-EA5D3F66F3B8}">
  <dimension ref="A2:AC76"/>
  <sheetViews>
    <sheetView topLeftCell="A30" zoomScale="90" zoomScaleNormal="90" workbookViewId="0">
      <selection activeCell="J69" sqref="J69"/>
    </sheetView>
  </sheetViews>
  <sheetFormatPr defaultColWidth="11" defaultRowHeight="15.95"/>
  <cols>
    <col min="2" max="2" width="12.375" bestFit="1" customWidth="1"/>
    <col min="3" max="3" width="30" bestFit="1" customWidth="1"/>
    <col min="4" max="4" width="14.875" customWidth="1"/>
  </cols>
  <sheetData>
    <row r="2" spans="1:29">
      <c r="A2" s="14" t="s">
        <v>61</v>
      </c>
      <c r="B2" s="14" t="s">
        <v>62</v>
      </c>
      <c r="C2" s="14" t="s">
        <v>63</v>
      </c>
      <c r="D2" s="15">
        <v>1</v>
      </c>
      <c r="E2" s="15">
        <v>2</v>
      </c>
      <c r="F2" s="15">
        <v>3</v>
      </c>
      <c r="G2" s="15">
        <v>4</v>
      </c>
      <c r="H2" s="15">
        <v>5</v>
      </c>
      <c r="I2" s="15">
        <v>6</v>
      </c>
      <c r="J2" s="15">
        <v>7</v>
      </c>
      <c r="K2" s="15">
        <v>8</v>
      </c>
      <c r="L2" s="15">
        <v>9</v>
      </c>
      <c r="M2" s="15">
        <v>10</v>
      </c>
      <c r="N2" s="15">
        <v>11</v>
      </c>
      <c r="O2" s="15">
        <v>12</v>
      </c>
      <c r="P2" s="15">
        <v>13</v>
      </c>
      <c r="Q2" s="15">
        <v>14</v>
      </c>
      <c r="R2" s="15">
        <v>15</v>
      </c>
      <c r="S2" s="15">
        <v>16</v>
      </c>
      <c r="T2" s="15">
        <v>17</v>
      </c>
      <c r="U2" s="15">
        <v>18</v>
      </c>
      <c r="W2" s="26" t="s">
        <v>64</v>
      </c>
      <c r="X2" s="26" t="s">
        <v>67</v>
      </c>
      <c r="Y2" s="26" t="s">
        <v>66</v>
      </c>
      <c r="AA2" s="26" t="s">
        <v>64</v>
      </c>
      <c r="AB2" s="26" t="s">
        <v>67</v>
      </c>
      <c r="AC2" s="26" t="s">
        <v>66</v>
      </c>
    </row>
    <row r="3" spans="1:29">
      <c r="A3" s="2">
        <v>1</v>
      </c>
      <c r="B3" s="2">
        <v>3</v>
      </c>
      <c r="C3" s="5" t="s">
        <v>68</v>
      </c>
      <c r="D3" s="10">
        <v>94.3</v>
      </c>
      <c r="I3">
        <v>13.5</v>
      </c>
      <c r="J3" s="10">
        <v>53.7</v>
      </c>
      <c r="M3" s="27">
        <v>168.3</v>
      </c>
      <c r="P3" s="10">
        <v>92.7</v>
      </c>
      <c r="Q3" s="30">
        <v>464.9</v>
      </c>
      <c r="R3" s="20">
        <v>22.6</v>
      </c>
      <c r="S3" s="21">
        <v>35.6</v>
      </c>
      <c r="U3" s="20">
        <v>87.9</v>
      </c>
      <c r="W3" s="25">
        <f>AVERAGE(D3:U3)</f>
        <v>114.83333333333333</v>
      </c>
      <c r="X3" s="25">
        <f>_xlfn.STDEV.S(D3:U3)</f>
        <v>139.5675911521009</v>
      </c>
      <c r="Y3">
        <f>COUNT(D3:U3)</f>
        <v>9</v>
      </c>
      <c r="AA3" s="25">
        <f>AVERAGE(D3,I3:J3,P3,R3:S3,U3)</f>
        <v>57.185714285714297</v>
      </c>
      <c r="AB3" s="25">
        <f>_xlfn.STDEV.S(D3,I3:J3,P3,R3:S3,U3)</f>
        <v>34.55625503298586</v>
      </c>
      <c r="AC3">
        <f>COUNT(D3,I3:J3,P3,R3:S3,U3)</f>
        <v>7</v>
      </c>
    </row>
    <row r="4" spans="1:29">
      <c r="A4" s="2">
        <v>2</v>
      </c>
      <c r="B4" s="2">
        <v>6</v>
      </c>
      <c r="C4" s="5" t="s">
        <v>69</v>
      </c>
      <c r="D4" s="10">
        <v>79.900000000000006</v>
      </c>
      <c r="I4">
        <v>15.1</v>
      </c>
      <c r="J4" s="10">
        <v>26.7</v>
      </c>
      <c r="M4" s="27">
        <v>178.4</v>
      </c>
      <c r="P4" s="10">
        <v>78.400000000000006</v>
      </c>
      <c r="Q4" s="30">
        <v>373.7</v>
      </c>
      <c r="R4" s="20">
        <v>21.4</v>
      </c>
      <c r="S4" s="22">
        <v>35.4</v>
      </c>
      <c r="U4" s="20">
        <v>74.7</v>
      </c>
      <c r="W4" s="25">
        <f t="shared" ref="W4:W52" si="0">AVERAGE(D4:U4)</f>
        <v>98.188888888888897</v>
      </c>
      <c r="X4" s="25">
        <f t="shared" ref="X4:X52" si="1">_xlfn.STDEV.S(D4:U4)</f>
        <v>114.82127899963103</v>
      </c>
      <c r="Y4">
        <f t="shared" ref="Y4:Y52" si="2">COUNT(D4:U4)</f>
        <v>9</v>
      </c>
      <c r="AA4" s="25">
        <f t="shared" ref="AA4:AA52" si="3">AVERAGE(D4,I4:J4,P4,R4:S4,U4)</f>
        <v>47.371428571428574</v>
      </c>
      <c r="AB4" s="25">
        <f t="shared" ref="AB4:AB52" si="4">_xlfn.STDEV.S(D4,I4:J4,P4,R4:S4,U4)</f>
        <v>29.023881792167533</v>
      </c>
      <c r="AC4">
        <f t="shared" ref="AC4:AC52" si="5">COUNT(D4,I4:J4,P4,R4:S4,U4)</f>
        <v>7</v>
      </c>
    </row>
    <row r="5" spans="1:29">
      <c r="A5" s="2">
        <v>3</v>
      </c>
      <c r="B5" s="2">
        <v>9</v>
      </c>
      <c r="C5" s="5" t="s">
        <v>69</v>
      </c>
      <c r="D5" s="10">
        <v>71.599999999999994</v>
      </c>
      <c r="I5">
        <v>11.9</v>
      </c>
      <c r="J5" s="10">
        <v>43.4</v>
      </c>
      <c r="M5" s="27">
        <v>175.1</v>
      </c>
      <c r="P5" s="10">
        <v>78.099999999999994</v>
      </c>
      <c r="Q5" s="30">
        <v>330.9</v>
      </c>
      <c r="R5" s="20">
        <v>20.5</v>
      </c>
      <c r="S5" s="22">
        <v>33.200000000000003</v>
      </c>
      <c r="U5" s="20">
        <v>72.099999999999994</v>
      </c>
      <c r="W5" s="25">
        <f t="shared" si="0"/>
        <v>92.977777777777789</v>
      </c>
      <c r="X5" s="25">
        <f t="shared" si="1"/>
        <v>101.44164304882112</v>
      </c>
      <c r="Y5">
        <f t="shared" si="2"/>
        <v>9</v>
      </c>
      <c r="AA5" s="25">
        <f t="shared" si="3"/>
        <v>47.257142857142853</v>
      </c>
      <c r="AB5" s="25">
        <f t="shared" si="4"/>
        <v>26.893546756477797</v>
      </c>
      <c r="AC5">
        <f t="shared" si="5"/>
        <v>7</v>
      </c>
    </row>
    <row r="6" spans="1:29">
      <c r="A6" s="3">
        <v>4</v>
      </c>
      <c r="B6" s="3">
        <v>12</v>
      </c>
      <c r="C6" s="6" t="s">
        <v>70</v>
      </c>
      <c r="D6" s="11">
        <v>73.900000000000006</v>
      </c>
      <c r="E6" s="11"/>
      <c r="F6" s="11"/>
      <c r="G6" s="11"/>
      <c r="H6" s="11"/>
      <c r="I6" s="11">
        <v>14.8</v>
      </c>
      <c r="J6" s="11">
        <v>55.6</v>
      </c>
      <c r="K6" s="11"/>
      <c r="L6" s="11"/>
      <c r="M6" s="28">
        <v>196.1</v>
      </c>
      <c r="N6" s="11"/>
      <c r="O6" s="11"/>
      <c r="P6" s="11">
        <v>82.2</v>
      </c>
      <c r="Q6" s="28">
        <v>444.8</v>
      </c>
      <c r="R6" s="11">
        <v>21.2</v>
      </c>
      <c r="S6" s="11">
        <v>32.700000000000003</v>
      </c>
      <c r="T6" s="11"/>
      <c r="U6" s="11">
        <v>63.9</v>
      </c>
      <c r="W6" s="25">
        <f t="shared" si="0"/>
        <v>109.46666666666667</v>
      </c>
      <c r="X6" s="25">
        <f t="shared" si="1"/>
        <v>136.74158109368196</v>
      </c>
      <c r="Y6">
        <f t="shared" si="2"/>
        <v>9</v>
      </c>
      <c r="AA6" s="25">
        <f t="shared" si="3"/>
        <v>49.185714285714276</v>
      </c>
      <c r="AB6" s="25">
        <f t="shared" si="4"/>
        <v>26.44411897892288</v>
      </c>
      <c r="AC6">
        <f t="shared" si="5"/>
        <v>7</v>
      </c>
    </row>
    <row r="7" spans="1:29">
      <c r="A7" s="3">
        <v>5</v>
      </c>
      <c r="B7" s="3">
        <v>15</v>
      </c>
      <c r="C7" s="6" t="s">
        <v>70</v>
      </c>
      <c r="D7" s="11">
        <v>85.3</v>
      </c>
      <c r="E7" s="11"/>
      <c r="F7" s="11"/>
      <c r="G7" s="11"/>
      <c r="H7" s="11"/>
      <c r="I7" s="11">
        <v>9.1</v>
      </c>
      <c r="J7" s="11">
        <v>40.5</v>
      </c>
      <c r="K7" s="11"/>
      <c r="L7" s="11"/>
      <c r="M7" s="28">
        <v>151.6</v>
      </c>
      <c r="N7" s="11"/>
      <c r="O7" s="11"/>
      <c r="P7" s="11">
        <v>70.2</v>
      </c>
      <c r="Q7" s="28">
        <v>344.9</v>
      </c>
      <c r="R7" s="11">
        <v>20.6</v>
      </c>
      <c r="S7" s="11">
        <v>35.6</v>
      </c>
      <c r="T7" s="11"/>
      <c r="U7" s="11">
        <v>60</v>
      </c>
      <c r="W7" s="25">
        <f t="shared" si="0"/>
        <v>90.86666666666666</v>
      </c>
      <c r="X7" s="25">
        <f t="shared" si="1"/>
        <v>104.19136240591153</v>
      </c>
      <c r="Y7">
        <f t="shared" si="2"/>
        <v>9</v>
      </c>
      <c r="AA7" s="25">
        <f t="shared" si="3"/>
        <v>45.899999999999991</v>
      </c>
      <c r="AB7" s="25">
        <f t="shared" si="4"/>
        <v>27.29847370580757</v>
      </c>
      <c r="AC7">
        <f t="shared" si="5"/>
        <v>7</v>
      </c>
    </row>
    <row r="8" spans="1:29">
      <c r="A8" s="3">
        <v>6</v>
      </c>
      <c r="B8" s="3">
        <v>18</v>
      </c>
      <c r="C8" s="6" t="s">
        <v>70</v>
      </c>
      <c r="D8" s="11">
        <v>66.099999999999994</v>
      </c>
      <c r="E8" s="11"/>
      <c r="F8" s="11"/>
      <c r="G8" s="11"/>
      <c r="H8" s="11"/>
      <c r="I8" s="11">
        <v>12.4</v>
      </c>
      <c r="J8" s="11">
        <v>44.8</v>
      </c>
      <c r="K8" s="11"/>
      <c r="L8" s="11"/>
      <c r="M8" s="28">
        <v>208.1</v>
      </c>
      <c r="N8" s="11"/>
      <c r="O8" s="11"/>
      <c r="P8" s="11">
        <v>54.7</v>
      </c>
      <c r="Q8" s="28">
        <v>442.1</v>
      </c>
      <c r="R8" s="11">
        <v>17.2</v>
      </c>
      <c r="S8" s="11">
        <v>36.6</v>
      </c>
      <c r="T8" s="11"/>
      <c r="U8" s="11">
        <v>38.1</v>
      </c>
      <c r="W8" s="25">
        <f t="shared" si="0"/>
        <v>102.23333333333335</v>
      </c>
      <c r="X8" s="25">
        <f t="shared" si="1"/>
        <v>140.22403502966245</v>
      </c>
      <c r="Y8">
        <f t="shared" si="2"/>
        <v>9</v>
      </c>
      <c r="AA8" s="25">
        <f t="shared" si="3"/>
        <v>38.557142857142857</v>
      </c>
      <c r="AB8" s="25">
        <f t="shared" si="4"/>
        <v>19.159580470603306</v>
      </c>
      <c r="AC8">
        <f t="shared" si="5"/>
        <v>7</v>
      </c>
    </row>
    <row r="9" spans="1:29">
      <c r="A9" s="3">
        <v>7</v>
      </c>
      <c r="B9" s="3">
        <v>21</v>
      </c>
      <c r="C9" s="6" t="s">
        <v>70</v>
      </c>
      <c r="D9" s="11">
        <v>59</v>
      </c>
      <c r="E9" s="11"/>
      <c r="F9" s="11"/>
      <c r="G9" s="11"/>
      <c r="H9" s="11"/>
      <c r="I9" s="11">
        <v>6.7</v>
      </c>
      <c r="J9" s="11">
        <v>33.200000000000003</v>
      </c>
      <c r="K9" s="11"/>
      <c r="L9" s="11"/>
      <c r="M9" s="28">
        <v>158.4</v>
      </c>
      <c r="N9" s="11"/>
      <c r="O9" s="11"/>
      <c r="P9" s="11">
        <v>51</v>
      </c>
      <c r="Q9" s="28">
        <v>340.8</v>
      </c>
      <c r="R9" s="11">
        <v>20</v>
      </c>
      <c r="S9" s="11">
        <v>44.4</v>
      </c>
      <c r="T9" s="11"/>
      <c r="U9" s="11">
        <v>28.7</v>
      </c>
      <c r="W9" s="25">
        <f t="shared" si="0"/>
        <v>82.466666666666669</v>
      </c>
      <c r="X9" s="25">
        <f t="shared" si="1"/>
        <v>106.33239158412643</v>
      </c>
      <c r="Y9">
        <f t="shared" si="2"/>
        <v>9</v>
      </c>
      <c r="AA9" s="25">
        <f t="shared" si="3"/>
        <v>34.714285714285715</v>
      </c>
      <c r="AB9" s="25">
        <f t="shared" si="4"/>
        <v>18.205349815500988</v>
      </c>
      <c r="AC9">
        <f t="shared" si="5"/>
        <v>7</v>
      </c>
    </row>
    <row r="10" spans="1:29">
      <c r="A10" s="3">
        <v>8</v>
      </c>
      <c r="B10" s="3">
        <v>24</v>
      </c>
      <c r="C10" s="6" t="s">
        <v>70</v>
      </c>
      <c r="D10" s="11">
        <v>38.1</v>
      </c>
      <c r="E10" s="11"/>
      <c r="F10" s="11"/>
      <c r="G10" s="11"/>
      <c r="H10" s="11"/>
      <c r="I10" s="11">
        <v>9</v>
      </c>
      <c r="J10" s="11">
        <v>19</v>
      </c>
      <c r="K10" s="11"/>
      <c r="L10" s="11"/>
      <c r="M10" s="28">
        <v>169.9</v>
      </c>
      <c r="N10" s="11"/>
      <c r="O10" s="11"/>
      <c r="P10" s="11">
        <v>61.6</v>
      </c>
      <c r="Q10" s="28">
        <v>408.1</v>
      </c>
      <c r="R10" s="11">
        <v>19.600000000000001</v>
      </c>
      <c r="S10" s="11">
        <v>44.3</v>
      </c>
      <c r="T10" s="11"/>
      <c r="U10" s="11">
        <v>29.4</v>
      </c>
      <c r="W10" s="25">
        <f t="shared" si="0"/>
        <v>88.777777777777771</v>
      </c>
      <c r="X10" s="25">
        <f t="shared" si="1"/>
        <v>129.12075528142037</v>
      </c>
      <c r="Y10">
        <f t="shared" si="2"/>
        <v>9</v>
      </c>
      <c r="AA10" s="25">
        <f t="shared" si="3"/>
        <v>31.571428571428566</v>
      </c>
      <c r="AB10" s="25">
        <f t="shared" si="4"/>
        <v>17.897366127051061</v>
      </c>
      <c r="AC10">
        <f t="shared" si="5"/>
        <v>7</v>
      </c>
    </row>
    <row r="11" spans="1:29">
      <c r="A11" s="3">
        <v>9</v>
      </c>
      <c r="B11" s="3">
        <v>27</v>
      </c>
      <c r="C11" s="6" t="s">
        <v>70</v>
      </c>
      <c r="D11" s="11">
        <v>54.6</v>
      </c>
      <c r="E11" s="11"/>
      <c r="F11" s="11"/>
      <c r="G11" s="11"/>
      <c r="H11" s="11"/>
      <c r="I11" s="11">
        <v>10.1</v>
      </c>
      <c r="J11" s="11">
        <v>42.3</v>
      </c>
      <c r="K11" s="11"/>
      <c r="L11" s="11"/>
      <c r="M11" s="28">
        <v>177</v>
      </c>
      <c r="N11" s="11"/>
      <c r="O11" s="11"/>
      <c r="P11" s="11">
        <v>66</v>
      </c>
      <c r="Q11" s="28">
        <v>499.1</v>
      </c>
      <c r="R11" s="11">
        <v>17.8</v>
      </c>
      <c r="S11" s="11">
        <v>50.1</v>
      </c>
      <c r="T11" s="11"/>
      <c r="U11" s="11">
        <v>37.5</v>
      </c>
      <c r="W11" s="25">
        <f t="shared" si="0"/>
        <v>106.05555555555556</v>
      </c>
      <c r="X11" s="25">
        <f t="shared" si="1"/>
        <v>155.18591359326976</v>
      </c>
      <c r="Y11">
        <f t="shared" si="2"/>
        <v>9</v>
      </c>
      <c r="AA11" s="25">
        <f t="shared" si="3"/>
        <v>39.771428571428565</v>
      </c>
      <c r="AB11" s="25">
        <f t="shared" si="4"/>
        <v>19.954925397481393</v>
      </c>
      <c r="AC11">
        <f t="shared" si="5"/>
        <v>7</v>
      </c>
    </row>
    <row r="12" spans="1:29">
      <c r="A12" s="3">
        <v>10</v>
      </c>
      <c r="B12" s="3">
        <v>30</v>
      </c>
      <c r="C12" s="6" t="s">
        <v>70</v>
      </c>
      <c r="D12" s="11">
        <v>48.5</v>
      </c>
      <c r="E12" s="11"/>
      <c r="F12" s="11"/>
      <c r="G12" s="11"/>
      <c r="H12" s="11"/>
      <c r="I12" s="11">
        <v>9.3000000000000007</v>
      </c>
      <c r="J12" s="11">
        <v>9.1999999999999993</v>
      </c>
      <c r="K12" s="11"/>
      <c r="L12" s="11"/>
      <c r="M12" s="28">
        <v>182.9</v>
      </c>
      <c r="N12" s="11"/>
      <c r="O12" s="11"/>
      <c r="P12" s="11">
        <v>69.099999999999994</v>
      </c>
      <c r="Q12" s="28">
        <v>478.7</v>
      </c>
      <c r="R12" s="11">
        <v>20</v>
      </c>
      <c r="S12" s="11">
        <v>51</v>
      </c>
      <c r="T12" s="11"/>
      <c r="U12" s="11">
        <v>48.8</v>
      </c>
      <c r="W12" s="25">
        <f t="shared" si="0"/>
        <v>101.94444444444444</v>
      </c>
      <c r="X12" s="25">
        <f t="shared" si="1"/>
        <v>150.72852343792721</v>
      </c>
      <c r="Y12">
        <f t="shared" si="2"/>
        <v>9</v>
      </c>
      <c r="AA12" s="25">
        <f t="shared" si="3"/>
        <v>36.557142857142857</v>
      </c>
      <c r="AB12" s="25">
        <f t="shared" si="4"/>
        <v>23.543070965279583</v>
      </c>
      <c r="AC12">
        <f t="shared" si="5"/>
        <v>7</v>
      </c>
    </row>
    <row r="13" spans="1:29">
      <c r="A13" s="3">
        <v>11</v>
      </c>
      <c r="B13" s="3">
        <v>33</v>
      </c>
      <c r="C13" s="6" t="s">
        <v>70</v>
      </c>
      <c r="D13" s="11">
        <v>55.4</v>
      </c>
      <c r="E13" s="11"/>
      <c r="F13" s="11"/>
      <c r="G13" s="11"/>
      <c r="H13" s="11"/>
      <c r="I13" s="11">
        <v>9.4</v>
      </c>
      <c r="J13" s="11">
        <v>38.4</v>
      </c>
      <c r="K13" s="11"/>
      <c r="L13" s="11"/>
      <c r="M13" s="28">
        <v>194.3</v>
      </c>
      <c r="N13" s="11"/>
      <c r="O13" s="11"/>
      <c r="P13" s="11">
        <v>64.099999999999994</v>
      </c>
      <c r="Q13" s="28">
        <v>549</v>
      </c>
      <c r="R13" s="11">
        <v>19.3</v>
      </c>
      <c r="S13" s="11">
        <v>48.8</v>
      </c>
      <c r="T13" s="11"/>
      <c r="U13" s="11">
        <v>53.9</v>
      </c>
      <c r="W13" s="25">
        <f t="shared" si="0"/>
        <v>114.73333333333332</v>
      </c>
      <c r="X13" s="25">
        <f t="shared" si="1"/>
        <v>171.42049177388336</v>
      </c>
      <c r="Y13">
        <f t="shared" si="2"/>
        <v>9</v>
      </c>
      <c r="AA13" s="25">
        <f t="shared" si="3"/>
        <v>41.328571428571422</v>
      </c>
      <c r="AB13" s="25">
        <f t="shared" si="4"/>
        <v>20.181155755284379</v>
      </c>
      <c r="AC13">
        <f t="shared" si="5"/>
        <v>7</v>
      </c>
    </row>
    <row r="14" spans="1:29">
      <c r="A14" s="3">
        <v>12</v>
      </c>
      <c r="B14" s="3">
        <v>36</v>
      </c>
      <c r="C14" s="6" t="s">
        <v>70</v>
      </c>
      <c r="D14" s="11">
        <v>53.6</v>
      </c>
      <c r="E14" s="11"/>
      <c r="F14" s="11"/>
      <c r="G14" s="11"/>
      <c r="H14" s="11"/>
      <c r="I14" s="11">
        <v>10.4</v>
      </c>
      <c r="J14" s="11">
        <v>11</v>
      </c>
      <c r="K14" s="11"/>
      <c r="L14" s="11"/>
      <c r="M14" s="28">
        <v>214.1</v>
      </c>
      <c r="N14" s="11"/>
      <c r="O14" s="11"/>
      <c r="P14" s="11">
        <v>71.5</v>
      </c>
      <c r="Q14" s="28">
        <v>521.9</v>
      </c>
      <c r="R14" s="11">
        <v>18.899999999999999</v>
      </c>
      <c r="S14" s="11">
        <v>49.9</v>
      </c>
      <c r="T14" s="11"/>
      <c r="U14" s="11">
        <v>47.8</v>
      </c>
      <c r="W14" s="25">
        <f t="shared" si="0"/>
        <v>111.01111111111111</v>
      </c>
      <c r="X14" s="25">
        <f t="shared" si="1"/>
        <v>166.07740999639631</v>
      </c>
      <c r="Y14">
        <f t="shared" si="2"/>
        <v>9</v>
      </c>
      <c r="AA14" s="25">
        <f t="shared" si="3"/>
        <v>37.585714285714289</v>
      </c>
      <c r="AB14" s="25">
        <f t="shared" si="4"/>
        <v>24.005654095888076</v>
      </c>
      <c r="AC14">
        <f t="shared" si="5"/>
        <v>7</v>
      </c>
    </row>
    <row r="15" spans="1:29">
      <c r="A15" s="3">
        <v>13</v>
      </c>
      <c r="B15" s="3">
        <v>39</v>
      </c>
      <c r="C15" s="6" t="s">
        <v>70</v>
      </c>
      <c r="D15" s="11">
        <v>58.4</v>
      </c>
      <c r="E15" s="11"/>
      <c r="F15" s="11"/>
      <c r="G15" s="11"/>
      <c r="H15" s="11"/>
      <c r="I15" s="11">
        <v>7.8</v>
      </c>
      <c r="J15" s="11">
        <v>34.6</v>
      </c>
      <c r="K15" s="11"/>
      <c r="L15" s="11"/>
      <c r="M15" s="28">
        <v>193.9</v>
      </c>
      <c r="N15" s="11"/>
      <c r="O15" s="11"/>
      <c r="P15" s="11">
        <v>66.900000000000006</v>
      </c>
      <c r="Q15" s="28">
        <v>439.4</v>
      </c>
      <c r="R15" s="11">
        <v>19</v>
      </c>
      <c r="S15" s="11">
        <v>50.8</v>
      </c>
      <c r="T15" s="11"/>
      <c r="U15" s="11">
        <v>44.5</v>
      </c>
      <c r="W15" s="25">
        <f t="shared" si="0"/>
        <v>101.69999999999999</v>
      </c>
      <c r="X15" s="25">
        <f t="shared" si="1"/>
        <v>137.68152563071052</v>
      </c>
      <c r="Y15">
        <f t="shared" si="2"/>
        <v>9</v>
      </c>
      <c r="AA15" s="25">
        <f t="shared" si="3"/>
        <v>40.285714285714285</v>
      </c>
      <c r="AB15" s="25">
        <f t="shared" si="4"/>
        <v>21.23475363419039</v>
      </c>
      <c r="AC15">
        <f t="shared" si="5"/>
        <v>7</v>
      </c>
    </row>
    <row r="16" spans="1:29">
      <c r="A16" s="2">
        <v>14</v>
      </c>
      <c r="B16" s="2">
        <v>42</v>
      </c>
      <c r="C16" s="5" t="s">
        <v>69</v>
      </c>
      <c r="D16" s="10">
        <v>55.5</v>
      </c>
      <c r="I16">
        <v>10</v>
      </c>
      <c r="J16" s="10">
        <v>50.9</v>
      </c>
      <c r="M16" s="27">
        <v>216.3</v>
      </c>
      <c r="P16" s="10">
        <v>69</v>
      </c>
      <c r="Q16" s="30">
        <v>541.4</v>
      </c>
      <c r="R16" s="20">
        <v>19.2</v>
      </c>
      <c r="S16" s="22">
        <v>53.9</v>
      </c>
      <c r="U16" s="20">
        <v>41.9</v>
      </c>
      <c r="W16" s="25">
        <f t="shared" si="0"/>
        <v>117.56666666666668</v>
      </c>
      <c r="X16" s="25">
        <f t="shared" si="1"/>
        <v>169.94994851426108</v>
      </c>
      <c r="Y16">
        <f t="shared" si="2"/>
        <v>9</v>
      </c>
      <c r="AA16" s="25">
        <f t="shared" si="3"/>
        <v>42.914285714285711</v>
      </c>
      <c r="AB16" s="25">
        <f t="shared" si="4"/>
        <v>21.095293991111596</v>
      </c>
      <c r="AC16">
        <f t="shared" si="5"/>
        <v>7</v>
      </c>
    </row>
    <row r="17" spans="1:29">
      <c r="A17" s="2">
        <v>15</v>
      </c>
      <c r="B17" s="2">
        <v>45</v>
      </c>
      <c r="C17" s="5" t="s">
        <v>69</v>
      </c>
      <c r="D17" s="10">
        <v>54.1</v>
      </c>
      <c r="I17">
        <v>7.3</v>
      </c>
      <c r="J17" s="10">
        <v>52</v>
      </c>
      <c r="M17" s="27">
        <v>194.7</v>
      </c>
      <c r="P17" s="10">
        <v>89.1</v>
      </c>
      <c r="Q17" s="30">
        <v>415.9</v>
      </c>
      <c r="R17" s="20">
        <v>23.4</v>
      </c>
      <c r="S17" s="22">
        <v>54.3</v>
      </c>
      <c r="U17" s="20">
        <v>49.2</v>
      </c>
      <c r="W17" s="25">
        <f t="shared" si="0"/>
        <v>104.44444444444444</v>
      </c>
      <c r="X17" s="25">
        <f t="shared" si="1"/>
        <v>128.57037091716651</v>
      </c>
      <c r="Y17">
        <f t="shared" si="2"/>
        <v>9</v>
      </c>
      <c r="AA17" s="25">
        <f t="shared" si="3"/>
        <v>47.057142857142857</v>
      </c>
      <c r="AB17" s="25">
        <f t="shared" si="4"/>
        <v>25.945382193038849</v>
      </c>
      <c r="AC17">
        <f t="shared" si="5"/>
        <v>7</v>
      </c>
    </row>
    <row r="18" spans="1:29">
      <c r="A18" s="2">
        <v>16</v>
      </c>
      <c r="B18" s="2">
        <v>48</v>
      </c>
      <c r="C18" s="5" t="s">
        <v>69</v>
      </c>
      <c r="D18" s="10">
        <v>59.6</v>
      </c>
      <c r="I18">
        <v>12.7</v>
      </c>
      <c r="J18" s="10">
        <v>55.5</v>
      </c>
      <c r="M18" s="27">
        <v>270.7</v>
      </c>
      <c r="P18" s="10">
        <v>87.1</v>
      </c>
      <c r="Q18" s="30">
        <v>568.5</v>
      </c>
      <c r="R18" s="20">
        <v>24.2</v>
      </c>
      <c r="S18" s="22">
        <v>52.2</v>
      </c>
      <c r="U18" s="20">
        <v>70.5</v>
      </c>
      <c r="W18" s="25">
        <f t="shared" si="0"/>
        <v>133.44444444444446</v>
      </c>
      <c r="X18" s="25">
        <f t="shared" si="1"/>
        <v>179.88357423004965</v>
      </c>
      <c r="Y18">
        <f t="shared" si="2"/>
        <v>9</v>
      </c>
      <c r="AA18" s="25">
        <f t="shared" si="3"/>
        <v>51.685714285714276</v>
      </c>
      <c r="AB18" s="25">
        <f t="shared" si="4"/>
        <v>25.69354189749043</v>
      </c>
      <c r="AC18">
        <f t="shared" si="5"/>
        <v>7</v>
      </c>
    </row>
    <row r="19" spans="1:29">
      <c r="A19" s="2">
        <v>17</v>
      </c>
      <c r="B19" s="2">
        <v>51</v>
      </c>
      <c r="C19" s="5" t="s">
        <v>69</v>
      </c>
      <c r="D19" s="10">
        <v>53.8</v>
      </c>
      <c r="I19">
        <v>10.5</v>
      </c>
      <c r="J19" s="10">
        <v>55.3</v>
      </c>
      <c r="M19" s="27">
        <v>210.8</v>
      </c>
      <c r="P19" s="10">
        <v>94.8</v>
      </c>
      <c r="Q19" s="30">
        <v>466.2</v>
      </c>
      <c r="R19" s="20">
        <v>24.3</v>
      </c>
      <c r="S19" s="22">
        <v>55</v>
      </c>
      <c r="U19" s="20">
        <v>66.599999999999994</v>
      </c>
      <c r="W19" s="25">
        <f t="shared" si="0"/>
        <v>115.25555555555555</v>
      </c>
      <c r="X19" s="25">
        <f t="shared" si="1"/>
        <v>143.7555921617583</v>
      </c>
      <c r="Y19">
        <f t="shared" si="2"/>
        <v>9</v>
      </c>
      <c r="AA19" s="25">
        <f t="shared" si="3"/>
        <v>51.471428571428568</v>
      </c>
      <c r="AB19" s="25">
        <f t="shared" si="4"/>
        <v>27.555139525789276</v>
      </c>
      <c r="AC19">
        <f t="shared" si="5"/>
        <v>7</v>
      </c>
    </row>
    <row r="20" spans="1:29">
      <c r="A20" s="2">
        <v>18</v>
      </c>
      <c r="B20" s="2">
        <v>54</v>
      </c>
      <c r="C20" s="5" t="s">
        <v>69</v>
      </c>
      <c r="D20" s="10">
        <v>54.9</v>
      </c>
      <c r="I20">
        <v>13.1</v>
      </c>
      <c r="J20" s="10">
        <v>36.5</v>
      </c>
      <c r="M20" s="27">
        <v>226.8</v>
      </c>
      <c r="P20" s="10">
        <v>88.5</v>
      </c>
      <c r="Q20" s="30">
        <v>561.5</v>
      </c>
      <c r="R20" s="20">
        <v>24.5</v>
      </c>
      <c r="S20" s="22">
        <v>53.4</v>
      </c>
      <c r="U20" s="20">
        <v>57.8</v>
      </c>
      <c r="W20" s="25">
        <f t="shared" si="0"/>
        <v>124.11111111111111</v>
      </c>
      <c r="X20" s="25">
        <f t="shared" si="1"/>
        <v>175.79503295346859</v>
      </c>
      <c r="Y20">
        <f t="shared" si="2"/>
        <v>9</v>
      </c>
      <c r="AA20" s="25">
        <f t="shared" si="3"/>
        <v>46.957142857142856</v>
      </c>
      <c r="AB20" s="25">
        <f t="shared" si="4"/>
        <v>24.859462124970783</v>
      </c>
      <c r="AC20">
        <f t="shared" si="5"/>
        <v>7</v>
      </c>
    </row>
    <row r="21" spans="1:29">
      <c r="A21" s="2">
        <v>19</v>
      </c>
      <c r="B21" s="2">
        <v>57</v>
      </c>
      <c r="C21" s="5" t="s">
        <v>69</v>
      </c>
      <c r="D21" s="10">
        <v>69.5</v>
      </c>
      <c r="I21">
        <v>16</v>
      </c>
      <c r="J21" s="10">
        <v>62.8</v>
      </c>
      <c r="M21" s="27">
        <v>200.6</v>
      </c>
      <c r="P21" s="10">
        <v>81.2</v>
      </c>
      <c r="Q21" s="30">
        <v>632.5</v>
      </c>
      <c r="R21" s="20">
        <v>23.6</v>
      </c>
      <c r="S21" s="22">
        <v>49.5</v>
      </c>
      <c r="U21" s="20">
        <v>60.5</v>
      </c>
      <c r="W21" s="25">
        <f t="shared" si="0"/>
        <v>132.9111111111111</v>
      </c>
      <c r="X21" s="25">
        <f t="shared" si="1"/>
        <v>194.80738207550331</v>
      </c>
      <c r="Y21">
        <f t="shared" si="2"/>
        <v>9</v>
      </c>
      <c r="AA21" s="25">
        <f t="shared" si="3"/>
        <v>51.871428571428574</v>
      </c>
      <c r="AB21" s="25">
        <f t="shared" si="4"/>
        <v>24.001646768899992</v>
      </c>
      <c r="AC21">
        <f t="shared" si="5"/>
        <v>7</v>
      </c>
    </row>
    <row r="22" spans="1:29">
      <c r="A22" s="2">
        <v>20</v>
      </c>
      <c r="B22" s="2">
        <v>60</v>
      </c>
      <c r="C22" s="5" t="s">
        <v>69</v>
      </c>
      <c r="D22" s="10">
        <v>56.4</v>
      </c>
      <c r="I22">
        <v>12.4</v>
      </c>
      <c r="J22" s="10">
        <v>22</v>
      </c>
      <c r="M22" s="27">
        <v>195.7</v>
      </c>
      <c r="P22" s="10">
        <v>77.8</v>
      </c>
      <c r="Q22" s="30">
        <v>652.5</v>
      </c>
      <c r="R22" s="20">
        <v>22.6</v>
      </c>
      <c r="S22" s="22">
        <v>47.9</v>
      </c>
      <c r="U22" s="20">
        <v>67.3</v>
      </c>
      <c r="W22" s="25">
        <f t="shared" si="0"/>
        <v>128.28888888888889</v>
      </c>
      <c r="X22" s="25">
        <f t="shared" si="1"/>
        <v>204.06445332568609</v>
      </c>
      <c r="Y22">
        <f t="shared" si="2"/>
        <v>9</v>
      </c>
      <c r="AA22" s="25">
        <f t="shared" si="3"/>
        <v>43.771428571428565</v>
      </c>
      <c r="AB22" s="25">
        <f t="shared" si="4"/>
        <v>25.147744384319004</v>
      </c>
      <c r="AC22">
        <f t="shared" si="5"/>
        <v>7</v>
      </c>
    </row>
    <row r="23" spans="1:29">
      <c r="A23" s="3">
        <v>21</v>
      </c>
      <c r="B23" s="3">
        <v>63</v>
      </c>
      <c r="C23" s="6" t="s">
        <v>71</v>
      </c>
      <c r="D23" s="11">
        <v>68.7</v>
      </c>
      <c r="E23" s="11"/>
      <c r="F23" s="11"/>
      <c r="G23" s="11"/>
      <c r="H23" s="11"/>
      <c r="I23" s="11">
        <v>13.4</v>
      </c>
      <c r="J23" s="11">
        <v>62.7</v>
      </c>
      <c r="K23" s="11"/>
      <c r="L23" s="11"/>
      <c r="M23" s="28">
        <v>222.2</v>
      </c>
      <c r="N23" s="11"/>
      <c r="O23" s="11"/>
      <c r="P23" s="11">
        <v>93.1</v>
      </c>
      <c r="Q23" s="28">
        <v>757.6</v>
      </c>
      <c r="R23" s="11">
        <v>21.8</v>
      </c>
      <c r="S23" s="11">
        <v>52.9</v>
      </c>
      <c r="T23" s="11"/>
      <c r="U23" s="11">
        <v>68.5</v>
      </c>
      <c r="W23" s="25">
        <f t="shared" si="0"/>
        <v>151.21111111111111</v>
      </c>
      <c r="X23" s="25">
        <f t="shared" si="1"/>
        <v>235.32197328577521</v>
      </c>
      <c r="Y23">
        <f t="shared" si="2"/>
        <v>9</v>
      </c>
      <c r="AA23" s="25">
        <f t="shared" si="3"/>
        <v>54.442857142857136</v>
      </c>
      <c r="AB23" s="25">
        <f t="shared" si="4"/>
        <v>28.035326354610632</v>
      </c>
      <c r="AC23">
        <f t="shared" si="5"/>
        <v>7</v>
      </c>
    </row>
    <row r="24" spans="1:29">
      <c r="A24" s="3">
        <v>22</v>
      </c>
      <c r="B24" s="3">
        <v>66</v>
      </c>
      <c r="C24" s="6" t="s">
        <v>71</v>
      </c>
      <c r="D24" s="11">
        <v>96.7</v>
      </c>
      <c r="E24" s="11"/>
      <c r="F24" s="11"/>
      <c r="G24" s="11"/>
      <c r="H24" s="11"/>
      <c r="I24" s="11">
        <v>13</v>
      </c>
      <c r="J24" s="11">
        <v>28.7</v>
      </c>
      <c r="K24" s="11"/>
      <c r="L24" s="11"/>
      <c r="M24" s="28">
        <v>211.9</v>
      </c>
      <c r="N24" s="11"/>
      <c r="O24" s="11"/>
      <c r="P24" s="11">
        <v>95.7</v>
      </c>
      <c r="Q24" s="28">
        <v>728</v>
      </c>
      <c r="R24" s="11">
        <v>23.8</v>
      </c>
      <c r="S24" s="11">
        <v>57.3</v>
      </c>
      <c r="T24" s="11"/>
      <c r="U24" s="11">
        <v>60.6</v>
      </c>
      <c r="W24" s="25">
        <f t="shared" si="0"/>
        <v>146.18888888888887</v>
      </c>
      <c r="X24" s="25">
        <f t="shared" si="1"/>
        <v>226.26562070078415</v>
      </c>
      <c r="Y24">
        <f t="shared" si="2"/>
        <v>9</v>
      </c>
      <c r="AA24" s="25">
        <f t="shared" si="3"/>
        <v>53.685714285714297</v>
      </c>
      <c r="AB24" s="25">
        <f t="shared" si="4"/>
        <v>33.786260943931445</v>
      </c>
      <c r="AC24">
        <f t="shared" si="5"/>
        <v>7</v>
      </c>
    </row>
    <row r="25" spans="1:29">
      <c r="A25" s="3">
        <v>23</v>
      </c>
      <c r="B25" s="3">
        <v>69</v>
      </c>
      <c r="C25" s="6" t="s">
        <v>71</v>
      </c>
      <c r="D25" s="11">
        <v>93.5</v>
      </c>
      <c r="E25" s="11"/>
      <c r="F25" s="11"/>
      <c r="G25" s="11"/>
      <c r="H25" s="11"/>
      <c r="I25" s="11">
        <v>21.2</v>
      </c>
      <c r="J25" s="11">
        <v>70.8</v>
      </c>
      <c r="K25" s="11"/>
      <c r="L25" s="11"/>
      <c r="M25" s="28">
        <v>222</v>
      </c>
      <c r="N25" s="11"/>
      <c r="O25" s="11"/>
      <c r="P25" s="11">
        <v>82.2</v>
      </c>
      <c r="Q25" s="28">
        <v>1004.4</v>
      </c>
      <c r="R25" s="11">
        <v>18.2</v>
      </c>
      <c r="S25" s="11">
        <v>72.3</v>
      </c>
      <c r="T25" s="11"/>
      <c r="U25" s="11">
        <v>43.1</v>
      </c>
      <c r="W25" s="25">
        <f t="shared" si="0"/>
        <v>180.85555555555553</v>
      </c>
      <c r="X25" s="25">
        <f t="shared" si="1"/>
        <v>314.66293121017259</v>
      </c>
      <c r="Y25">
        <f t="shared" si="2"/>
        <v>9</v>
      </c>
      <c r="AA25" s="25">
        <f t="shared" si="3"/>
        <v>57.328571428571429</v>
      </c>
      <c r="AB25" s="25">
        <f t="shared" si="4"/>
        <v>29.920322763728908</v>
      </c>
      <c r="AC25">
        <f t="shared" si="5"/>
        <v>7</v>
      </c>
    </row>
    <row r="26" spans="1:29">
      <c r="A26" s="2">
        <v>24</v>
      </c>
      <c r="B26" s="2">
        <v>72</v>
      </c>
      <c r="C26" s="5" t="s">
        <v>69</v>
      </c>
      <c r="D26" s="10">
        <v>99.2</v>
      </c>
      <c r="I26">
        <v>30.2</v>
      </c>
      <c r="J26" s="10">
        <v>176.3</v>
      </c>
      <c r="M26" s="27">
        <v>234.8</v>
      </c>
      <c r="P26" s="10">
        <v>119</v>
      </c>
      <c r="Q26" s="30">
        <v>1096.2</v>
      </c>
      <c r="R26" s="20">
        <v>35.5</v>
      </c>
      <c r="S26" s="22">
        <v>115.6</v>
      </c>
      <c r="U26" s="20">
        <v>54.6</v>
      </c>
      <c r="W26" s="25">
        <f t="shared" si="0"/>
        <v>217.93333333333331</v>
      </c>
      <c r="X26" s="25">
        <f t="shared" si="1"/>
        <v>335.95594577265638</v>
      </c>
      <c r="Y26">
        <f t="shared" si="2"/>
        <v>9</v>
      </c>
      <c r="AA26" s="25">
        <f t="shared" si="3"/>
        <v>90.057142857142864</v>
      </c>
      <c r="AB26" s="25">
        <f t="shared" si="4"/>
        <v>52.959288047293356</v>
      </c>
      <c r="AC26">
        <f t="shared" si="5"/>
        <v>7</v>
      </c>
    </row>
    <row r="27" spans="1:29">
      <c r="A27" s="2">
        <v>25</v>
      </c>
      <c r="B27" s="2">
        <v>75</v>
      </c>
      <c r="C27" s="5" t="s">
        <v>69</v>
      </c>
      <c r="D27" s="10">
        <v>122.7</v>
      </c>
      <c r="I27">
        <v>25.7</v>
      </c>
      <c r="J27" s="10">
        <v>216.7</v>
      </c>
      <c r="M27" s="27">
        <v>230.9</v>
      </c>
      <c r="P27" s="10">
        <v>194.9</v>
      </c>
      <c r="Q27" s="30">
        <v>953</v>
      </c>
      <c r="R27" s="20">
        <v>52.3</v>
      </c>
      <c r="S27" s="22">
        <v>154.6</v>
      </c>
      <c r="U27" s="20">
        <v>146.19999999999999</v>
      </c>
      <c r="W27" s="25">
        <f t="shared" si="0"/>
        <v>233</v>
      </c>
      <c r="X27" s="25">
        <f t="shared" si="1"/>
        <v>278.74593719012296</v>
      </c>
      <c r="Y27">
        <f t="shared" si="2"/>
        <v>9</v>
      </c>
      <c r="AA27" s="25">
        <f t="shared" si="3"/>
        <v>130.44285714285712</v>
      </c>
      <c r="AB27" s="25">
        <f t="shared" si="4"/>
        <v>70.195200622807477</v>
      </c>
      <c r="AC27">
        <f t="shared" si="5"/>
        <v>7</v>
      </c>
    </row>
    <row r="28" spans="1:29">
      <c r="A28" s="2">
        <v>26</v>
      </c>
      <c r="B28" s="2">
        <v>78</v>
      </c>
      <c r="C28" s="5" t="s">
        <v>69</v>
      </c>
      <c r="D28" s="10">
        <v>110.3</v>
      </c>
      <c r="I28">
        <v>31.8</v>
      </c>
      <c r="J28" s="10">
        <v>257</v>
      </c>
      <c r="M28" s="27">
        <v>292.39999999999998</v>
      </c>
      <c r="P28" s="10">
        <v>291</v>
      </c>
      <c r="Q28" s="30">
        <v>984.6</v>
      </c>
      <c r="R28" s="20">
        <v>48.7</v>
      </c>
      <c r="S28" s="22">
        <v>146.69999999999999</v>
      </c>
      <c r="U28" s="20">
        <v>174.1</v>
      </c>
      <c r="W28" s="25">
        <f t="shared" si="0"/>
        <v>259.62222222222221</v>
      </c>
      <c r="X28" s="25">
        <f t="shared" si="1"/>
        <v>288.62006937225351</v>
      </c>
      <c r="Y28">
        <f t="shared" si="2"/>
        <v>9</v>
      </c>
      <c r="AA28" s="25">
        <f t="shared" si="3"/>
        <v>151.37142857142857</v>
      </c>
      <c r="AB28" s="25">
        <f t="shared" si="4"/>
        <v>98.079520701073889</v>
      </c>
      <c r="AC28">
        <f t="shared" si="5"/>
        <v>7</v>
      </c>
    </row>
    <row r="29" spans="1:29">
      <c r="A29" s="2">
        <v>27</v>
      </c>
      <c r="B29" s="2">
        <v>81</v>
      </c>
      <c r="C29" s="5" t="s">
        <v>69</v>
      </c>
      <c r="D29" s="10">
        <v>85.4</v>
      </c>
      <c r="I29">
        <v>14.3</v>
      </c>
      <c r="J29" s="10">
        <v>168</v>
      </c>
      <c r="M29" s="27">
        <v>193</v>
      </c>
      <c r="P29" s="10">
        <v>176.9</v>
      </c>
      <c r="Q29" s="30">
        <v>685.7</v>
      </c>
      <c r="R29" s="20">
        <v>34.4</v>
      </c>
      <c r="S29" s="22">
        <v>86</v>
      </c>
      <c r="U29" s="20">
        <v>117.7</v>
      </c>
      <c r="W29" s="25">
        <f t="shared" si="0"/>
        <v>173.48888888888894</v>
      </c>
      <c r="X29" s="25">
        <f t="shared" si="1"/>
        <v>201.86500714861677</v>
      </c>
      <c r="Y29">
        <f t="shared" si="2"/>
        <v>9</v>
      </c>
      <c r="AA29" s="25">
        <f t="shared" si="3"/>
        <v>97.528571428571439</v>
      </c>
      <c r="AB29" s="25">
        <f t="shared" si="4"/>
        <v>61.732155702024905</v>
      </c>
      <c r="AC29">
        <f t="shared" si="5"/>
        <v>7</v>
      </c>
    </row>
    <row r="30" spans="1:29">
      <c r="A30" s="2">
        <v>28</v>
      </c>
      <c r="B30" s="2">
        <v>84</v>
      </c>
      <c r="C30" s="5" t="s">
        <v>69</v>
      </c>
      <c r="D30" s="10">
        <v>60.2</v>
      </c>
      <c r="I30">
        <v>14.8</v>
      </c>
      <c r="J30" s="10">
        <v>79.2</v>
      </c>
      <c r="M30" s="27">
        <v>207.6</v>
      </c>
      <c r="P30" s="10">
        <v>133.6</v>
      </c>
      <c r="Q30" s="30">
        <v>689.3</v>
      </c>
      <c r="R30" s="20">
        <v>29.2</v>
      </c>
      <c r="S30" s="22">
        <v>68.099999999999994</v>
      </c>
      <c r="U30" s="20">
        <v>91.1</v>
      </c>
      <c r="W30" s="25">
        <f t="shared" si="0"/>
        <v>152.56666666666663</v>
      </c>
      <c r="X30" s="25">
        <f t="shared" si="1"/>
        <v>209.31349096510715</v>
      </c>
      <c r="Y30">
        <f t="shared" si="2"/>
        <v>9</v>
      </c>
      <c r="AA30" s="25">
        <f t="shared" si="3"/>
        <v>68.028571428571425</v>
      </c>
      <c r="AB30" s="25">
        <f t="shared" si="4"/>
        <v>39.494586729732752</v>
      </c>
      <c r="AC30">
        <f t="shared" si="5"/>
        <v>7</v>
      </c>
    </row>
    <row r="31" spans="1:29">
      <c r="A31" s="2">
        <v>29</v>
      </c>
      <c r="B31" s="2">
        <v>87</v>
      </c>
      <c r="C31" s="5" t="s">
        <v>69</v>
      </c>
      <c r="D31" s="10">
        <v>72.599999999999994</v>
      </c>
      <c r="I31">
        <v>14.8</v>
      </c>
      <c r="J31" s="10">
        <v>88.7</v>
      </c>
      <c r="M31" s="27">
        <v>195</v>
      </c>
      <c r="P31" s="10">
        <v>109.1</v>
      </c>
      <c r="Q31" s="30">
        <v>677</v>
      </c>
      <c r="R31" s="20">
        <v>23.3</v>
      </c>
      <c r="S31" s="22">
        <v>59.2</v>
      </c>
      <c r="U31" s="20">
        <v>101.4</v>
      </c>
      <c r="W31" s="25">
        <f t="shared" si="0"/>
        <v>149.01111111111112</v>
      </c>
      <c r="X31" s="25">
        <f t="shared" si="1"/>
        <v>204.97103115101677</v>
      </c>
      <c r="Y31">
        <f t="shared" si="2"/>
        <v>9</v>
      </c>
      <c r="AA31" s="25">
        <f t="shared" si="3"/>
        <v>67.01428571428572</v>
      </c>
      <c r="AB31" s="25">
        <f t="shared" si="4"/>
        <v>36.8632350077702</v>
      </c>
      <c r="AC31">
        <f t="shared" si="5"/>
        <v>7</v>
      </c>
    </row>
    <row r="32" spans="1:29">
      <c r="A32" s="2">
        <v>30</v>
      </c>
      <c r="B32" s="2">
        <v>90</v>
      </c>
      <c r="C32" s="5" t="s">
        <v>69</v>
      </c>
      <c r="D32" s="10">
        <v>58.4</v>
      </c>
      <c r="I32">
        <v>13.4</v>
      </c>
      <c r="J32" s="10">
        <v>41.3</v>
      </c>
      <c r="M32" s="27">
        <v>213.8</v>
      </c>
      <c r="P32" s="10">
        <v>104</v>
      </c>
      <c r="Q32" s="30">
        <v>764.1</v>
      </c>
      <c r="R32" s="20">
        <v>23.5</v>
      </c>
      <c r="S32" s="22">
        <v>59.6</v>
      </c>
      <c r="U32" s="20">
        <v>91.5</v>
      </c>
      <c r="W32" s="25">
        <f t="shared" si="0"/>
        <v>152.17777777777778</v>
      </c>
      <c r="X32" s="25">
        <f t="shared" si="1"/>
        <v>237.0983539471425</v>
      </c>
      <c r="Y32">
        <f t="shared" si="2"/>
        <v>9</v>
      </c>
      <c r="AA32" s="25">
        <f t="shared" si="3"/>
        <v>55.957142857142856</v>
      </c>
      <c r="AB32" s="25">
        <f t="shared" si="4"/>
        <v>33.341808446396399</v>
      </c>
      <c r="AC32">
        <f t="shared" si="5"/>
        <v>7</v>
      </c>
    </row>
    <row r="33" spans="1:29">
      <c r="A33" s="3">
        <v>31</v>
      </c>
      <c r="B33" s="3">
        <v>93</v>
      </c>
      <c r="C33" s="6" t="s">
        <v>72</v>
      </c>
      <c r="D33" s="11">
        <v>74</v>
      </c>
      <c r="E33" s="11"/>
      <c r="F33" s="11"/>
      <c r="G33" s="11"/>
      <c r="H33" s="11"/>
      <c r="I33" s="11">
        <v>12.5</v>
      </c>
      <c r="J33" s="11">
        <v>78.5</v>
      </c>
      <c r="K33" s="11"/>
      <c r="L33" s="11"/>
      <c r="M33" s="28">
        <v>190.4</v>
      </c>
      <c r="N33" s="11"/>
      <c r="O33" s="11"/>
      <c r="P33" s="11">
        <v>115.9</v>
      </c>
      <c r="Q33" s="28">
        <v>767.3</v>
      </c>
      <c r="R33" s="11">
        <v>24.8</v>
      </c>
      <c r="S33" s="11">
        <v>56.3</v>
      </c>
      <c r="T33" s="11"/>
      <c r="U33" s="11">
        <v>45.1</v>
      </c>
      <c r="W33" s="25">
        <f t="shared" si="0"/>
        <v>151.64444444444442</v>
      </c>
      <c r="X33" s="25">
        <f t="shared" si="1"/>
        <v>236.92909335448397</v>
      </c>
      <c r="Y33">
        <f t="shared" si="2"/>
        <v>9</v>
      </c>
      <c r="AA33" s="25">
        <f t="shared" si="3"/>
        <v>58.157142857142858</v>
      </c>
      <c r="AB33" s="25">
        <f t="shared" si="4"/>
        <v>35.048245659512311</v>
      </c>
      <c r="AC33">
        <f t="shared" si="5"/>
        <v>7</v>
      </c>
    </row>
    <row r="34" spans="1:29">
      <c r="A34" s="3">
        <v>32</v>
      </c>
      <c r="B34" s="3">
        <v>96</v>
      </c>
      <c r="C34" s="6" t="s">
        <v>72</v>
      </c>
      <c r="D34" s="11">
        <v>92.4</v>
      </c>
      <c r="E34" s="11"/>
      <c r="F34" s="11"/>
      <c r="G34" s="11"/>
      <c r="H34" s="11"/>
      <c r="I34" s="11">
        <v>24.4</v>
      </c>
      <c r="J34" s="11">
        <v>73.599999999999994</v>
      </c>
      <c r="K34" s="11"/>
      <c r="L34" s="11"/>
      <c r="M34" s="28">
        <v>215</v>
      </c>
      <c r="N34" s="11"/>
      <c r="O34" s="11"/>
      <c r="P34" s="11">
        <v>133.80000000000001</v>
      </c>
      <c r="Q34" s="28">
        <v>853.1</v>
      </c>
      <c r="R34" s="11">
        <v>26.3</v>
      </c>
      <c r="S34" s="11">
        <v>96.3</v>
      </c>
      <c r="T34" s="11"/>
      <c r="U34" s="11">
        <v>90.3</v>
      </c>
      <c r="W34" s="25">
        <f t="shared" si="0"/>
        <v>178.35555555555555</v>
      </c>
      <c r="X34" s="25">
        <f t="shared" si="1"/>
        <v>259.3935866165117</v>
      </c>
      <c r="Y34">
        <f t="shared" si="2"/>
        <v>9</v>
      </c>
      <c r="AA34" s="25">
        <f t="shared" si="3"/>
        <v>76.728571428571428</v>
      </c>
      <c r="AB34" s="25">
        <f t="shared" si="4"/>
        <v>39.49910185838467</v>
      </c>
      <c r="AC34">
        <f t="shared" si="5"/>
        <v>7</v>
      </c>
    </row>
    <row r="35" spans="1:29">
      <c r="A35" s="3">
        <v>33</v>
      </c>
      <c r="B35" s="3">
        <v>99</v>
      </c>
      <c r="C35" s="6" t="s">
        <v>72</v>
      </c>
      <c r="D35" s="11">
        <v>155</v>
      </c>
      <c r="E35" s="11"/>
      <c r="F35" s="11"/>
      <c r="G35" s="11"/>
      <c r="H35" s="11"/>
      <c r="I35" s="11">
        <v>60.2</v>
      </c>
      <c r="J35" s="11">
        <v>214.3</v>
      </c>
      <c r="K35" s="11"/>
      <c r="L35" s="11"/>
      <c r="M35" s="28">
        <v>252.8</v>
      </c>
      <c r="N35" s="11"/>
      <c r="O35" s="11"/>
      <c r="P35" s="11">
        <v>207.2</v>
      </c>
      <c r="Q35" s="28">
        <v>1114.8</v>
      </c>
      <c r="R35" s="11">
        <v>48.5</v>
      </c>
      <c r="S35" s="11">
        <v>194.5</v>
      </c>
      <c r="T35" s="11"/>
      <c r="U35" s="11">
        <v>177.8</v>
      </c>
      <c r="W35" s="25">
        <f t="shared" si="0"/>
        <v>269.45555555555558</v>
      </c>
      <c r="X35" s="25">
        <f t="shared" si="1"/>
        <v>324.33218353684504</v>
      </c>
      <c r="Y35">
        <f t="shared" si="2"/>
        <v>9</v>
      </c>
      <c r="AA35" s="25">
        <f t="shared" si="3"/>
        <v>151.07142857142858</v>
      </c>
      <c r="AB35" s="25">
        <f t="shared" si="4"/>
        <v>68.971823094306998</v>
      </c>
      <c r="AC35">
        <f t="shared" si="5"/>
        <v>7</v>
      </c>
    </row>
    <row r="36" spans="1:29">
      <c r="A36" s="2">
        <v>34</v>
      </c>
      <c r="B36" s="2">
        <v>102</v>
      </c>
      <c r="C36" s="5" t="s">
        <v>69</v>
      </c>
      <c r="D36" s="10">
        <v>151.80000000000001</v>
      </c>
      <c r="I36">
        <v>64.7</v>
      </c>
      <c r="J36" s="10">
        <v>356.2</v>
      </c>
      <c r="M36" s="27">
        <v>269.2</v>
      </c>
      <c r="P36" s="10">
        <v>349.3</v>
      </c>
      <c r="Q36" s="30">
        <v>1121.5</v>
      </c>
      <c r="R36" s="20">
        <v>61.7</v>
      </c>
      <c r="S36" s="22">
        <v>243.7</v>
      </c>
      <c r="U36" s="20">
        <v>291.3</v>
      </c>
      <c r="W36" s="25">
        <f t="shared" si="0"/>
        <v>323.26666666666665</v>
      </c>
      <c r="X36" s="25">
        <f t="shared" si="1"/>
        <v>318.9610830493275</v>
      </c>
      <c r="Y36">
        <f t="shared" si="2"/>
        <v>9</v>
      </c>
      <c r="AA36" s="25">
        <f t="shared" si="3"/>
        <v>216.95714285714286</v>
      </c>
      <c r="AB36" s="25">
        <f t="shared" si="4"/>
        <v>125.61695555859302</v>
      </c>
      <c r="AC36">
        <f t="shared" si="5"/>
        <v>7</v>
      </c>
    </row>
    <row r="37" spans="1:29">
      <c r="A37" s="2">
        <v>35</v>
      </c>
      <c r="B37" s="2">
        <v>105</v>
      </c>
      <c r="C37" s="5" t="s">
        <v>69</v>
      </c>
      <c r="D37" s="10">
        <v>213.4</v>
      </c>
      <c r="I37">
        <v>51.2</v>
      </c>
      <c r="J37" s="10">
        <v>337.8</v>
      </c>
      <c r="M37" s="27">
        <v>207.8</v>
      </c>
      <c r="P37" s="10">
        <v>373.2</v>
      </c>
      <c r="Q37" s="30">
        <v>920.2</v>
      </c>
      <c r="R37" s="20">
        <v>83.3</v>
      </c>
      <c r="S37" s="22">
        <v>230.2</v>
      </c>
      <c r="U37" s="20">
        <v>279</v>
      </c>
      <c r="W37" s="25">
        <f t="shared" si="0"/>
        <v>299.56666666666672</v>
      </c>
      <c r="X37" s="25">
        <f t="shared" si="1"/>
        <v>255.34466902600485</v>
      </c>
      <c r="Y37">
        <f t="shared" si="2"/>
        <v>9</v>
      </c>
      <c r="AA37" s="25">
        <f t="shared" si="3"/>
        <v>224.01428571428573</v>
      </c>
      <c r="AB37" s="25">
        <f t="shared" si="4"/>
        <v>121.13574243483255</v>
      </c>
      <c r="AC37">
        <f t="shared" si="5"/>
        <v>7</v>
      </c>
    </row>
    <row r="38" spans="1:29">
      <c r="A38" s="2">
        <v>36</v>
      </c>
      <c r="B38" s="2">
        <v>108</v>
      </c>
      <c r="C38" s="5" t="s">
        <v>69</v>
      </c>
      <c r="D38" s="10">
        <v>160</v>
      </c>
      <c r="I38">
        <v>35.1</v>
      </c>
      <c r="J38" s="10">
        <v>177.4</v>
      </c>
      <c r="M38" s="27">
        <v>177.9</v>
      </c>
      <c r="P38" s="10">
        <v>254.7</v>
      </c>
      <c r="Q38" s="30">
        <v>782.2</v>
      </c>
      <c r="R38" s="20">
        <v>45</v>
      </c>
      <c r="S38" s="22">
        <v>131.9</v>
      </c>
      <c r="U38" s="20">
        <v>236</v>
      </c>
      <c r="W38" s="25">
        <f t="shared" si="0"/>
        <v>222.24444444444444</v>
      </c>
      <c r="X38" s="25">
        <f t="shared" si="1"/>
        <v>222.83552853568432</v>
      </c>
      <c r="Y38">
        <f t="shared" si="2"/>
        <v>9</v>
      </c>
      <c r="AA38" s="25">
        <f t="shared" si="3"/>
        <v>148.58571428571426</v>
      </c>
      <c r="AB38" s="25">
        <f t="shared" si="4"/>
        <v>85.390737760240143</v>
      </c>
      <c r="AC38">
        <f t="shared" si="5"/>
        <v>7</v>
      </c>
    </row>
    <row r="39" spans="1:29">
      <c r="A39" s="2">
        <v>37</v>
      </c>
      <c r="B39" s="2">
        <v>111</v>
      </c>
      <c r="C39" s="5" t="s">
        <v>69</v>
      </c>
      <c r="D39" s="10">
        <v>78</v>
      </c>
      <c r="I39">
        <v>13.5</v>
      </c>
      <c r="J39" s="10">
        <v>96.6</v>
      </c>
      <c r="M39" s="27">
        <v>164.6</v>
      </c>
      <c r="P39" s="10">
        <v>165.4</v>
      </c>
      <c r="Q39" s="30">
        <v>469</v>
      </c>
      <c r="R39" s="20">
        <v>28.2</v>
      </c>
      <c r="S39" s="22">
        <v>88.9</v>
      </c>
      <c r="U39" s="20">
        <v>126.6</v>
      </c>
      <c r="W39" s="25">
        <f t="shared" si="0"/>
        <v>136.75555555555556</v>
      </c>
      <c r="X39" s="25">
        <f t="shared" si="1"/>
        <v>135.28507041716679</v>
      </c>
      <c r="Y39">
        <f t="shared" si="2"/>
        <v>9</v>
      </c>
      <c r="AA39" s="25">
        <f t="shared" si="3"/>
        <v>85.314285714285717</v>
      </c>
      <c r="AB39" s="25">
        <f t="shared" si="4"/>
        <v>52.80670502159829</v>
      </c>
      <c r="AC39">
        <f t="shared" si="5"/>
        <v>7</v>
      </c>
    </row>
    <row r="40" spans="1:29">
      <c r="A40" s="2">
        <v>38</v>
      </c>
      <c r="B40" s="2">
        <v>114</v>
      </c>
      <c r="C40" s="5" t="s">
        <v>69</v>
      </c>
      <c r="D40" s="10">
        <v>48.2</v>
      </c>
      <c r="I40">
        <v>12.8</v>
      </c>
      <c r="J40" s="10">
        <v>40.1</v>
      </c>
      <c r="M40" s="27">
        <v>157.80000000000001</v>
      </c>
      <c r="P40" s="10">
        <v>129.9</v>
      </c>
      <c r="Q40" s="30">
        <v>506.9</v>
      </c>
      <c r="R40" s="20">
        <v>22.5</v>
      </c>
      <c r="S40" s="22">
        <v>62.2</v>
      </c>
      <c r="U40" s="20">
        <v>99.8</v>
      </c>
      <c r="W40" s="25">
        <f t="shared" si="0"/>
        <v>120.02222222222223</v>
      </c>
      <c r="X40" s="25">
        <f t="shared" si="1"/>
        <v>153.09501769961179</v>
      </c>
      <c r="Y40">
        <f t="shared" si="2"/>
        <v>9</v>
      </c>
      <c r="AA40" s="25">
        <f t="shared" si="3"/>
        <v>59.357142857142854</v>
      </c>
      <c r="AB40" s="25">
        <f t="shared" si="4"/>
        <v>42.113610513421797</v>
      </c>
      <c r="AC40">
        <f t="shared" si="5"/>
        <v>7</v>
      </c>
    </row>
    <row r="41" spans="1:29">
      <c r="A41" s="2">
        <v>39</v>
      </c>
      <c r="B41" s="2">
        <v>117</v>
      </c>
      <c r="C41" s="5" t="s">
        <v>69</v>
      </c>
      <c r="D41" s="10">
        <v>64.599999999999994</v>
      </c>
      <c r="I41">
        <v>12.1</v>
      </c>
      <c r="J41" s="10">
        <v>53.9</v>
      </c>
      <c r="M41" s="27">
        <v>157.80000000000001</v>
      </c>
      <c r="P41" s="10">
        <v>108.9</v>
      </c>
      <c r="Q41" s="30">
        <v>515.4</v>
      </c>
      <c r="R41" s="20">
        <v>21.4</v>
      </c>
      <c r="S41" s="22">
        <v>49.7</v>
      </c>
      <c r="U41" s="20">
        <v>65.8</v>
      </c>
      <c r="W41" s="25">
        <f t="shared" si="0"/>
        <v>116.62222222222221</v>
      </c>
      <c r="X41" s="25">
        <f t="shared" si="1"/>
        <v>155.91383660356914</v>
      </c>
      <c r="Y41">
        <f t="shared" si="2"/>
        <v>9</v>
      </c>
      <c r="AA41" s="25">
        <f t="shared" si="3"/>
        <v>53.771428571428565</v>
      </c>
      <c r="AB41" s="25">
        <f t="shared" si="4"/>
        <v>31.890736078351143</v>
      </c>
      <c r="AC41">
        <f t="shared" si="5"/>
        <v>7</v>
      </c>
    </row>
    <row r="42" spans="1:29">
      <c r="A42" s="2">
        <v>40</v>
      </c>
      <c r="B42" s="2">
        <v>120</v>
      </c>
      <c r="C42" s="5" t="s">
        <v>69</v>
      </c>
      <c r="D42" s="10">
        <v>51.2</v>
      </c>
      <c r="I42">
        <v>9.9</v>
      </c>
      <c r="J42" s="10">
        <v>19.899999999999999</v>
      </c>
      <c r="M42" s="27">
        <v>156.19999999999999</v>
      </c>
      <c r="P42" s="10">
        <v>102</v>
      </c>
      <c r="Q42" s="30">
        <v>534.4</v>
      </c>
      <c r="R42" s="20">
        <v>19.7</v>
      </c>
      <c r="S42" s="22">
        <v>45.8</v>
      </c>
      <c r="U42" s="20">
        <v>54</v>
      </c>
      <c r="W42" s="25">
        <f t="shared" si="0"/>
        <v>110.34444444444443</v>
      </c>
      <c r="X42" s="25">
        <f t="shared" si="1"/>
        <v>165.57472717108064</v>
      </c>
      <c r="Y42">
        <f t="shared" si="2"/>
        <v>9</v>
      </c>
      <c r="AA42" s="25">
        <f t="shared" si="3"/>
        <v>43.214285714285715</v>
      </c>
      <c r="AB42" s="25">
        <f t="shared" si="4"/>
        <v>31.221970286505442</v>
      </c>
      <c r="AC42">
        <f t="shared" si="5"/>
        <v>7</v>
      </c>
    </row>
    <row r="43" spans="1:29">
      <c r="A43" s="3">
        <v>41</v>
      </c>
      <c r="B43" s="3">
        <v>123</v>
      </c>
      <c r="C43" s="7" t="s">
        <v>73</v>
      </c>
      <c r="D43" s="11">
        <v>52.2</v>
      </c>
      <c r="E43" s="11"/>
      <c r="F43" s="11"/>
      <c r="G43" s="11"/>
      <c r="H43" s="11"/>
      <c r="I43" s="11">
        <v>10.5</v>
      </c>
      <c r="J43" s="11">
        <v>47.2</v>
      </c>
      <c r="K43" s="11"/>
      <c r="L43" s="11"/>
      <c r="M43" s="28">
        <v>172.4</v>
      </c>
      <c r="N43" s="11"/>
      <c r="O43" s="11"/>
      <c r="P43" s="11">
        <v>98.8</v>
      </c>
      <c r="Q43" s="28">
        <v>606.5</v>
      </c>
      <c r="R43" s="11">
        <v>17.5</v>
      </c>
      <c r="S43" s="11">
        <v>42.7</v>
      </c>
      <c r="T43" s="11"/>
      <c r="U43" s="11">
        <v>54.1</v>
      </c>
      <c r="W43" s="25">
        <f t="shared" si="0"/>
        <v>122.43333333333332</v>
      </c>
      <c r="X43" s="25">
        <f t="shared" si="1"/>
        <v>187.92799152867039</v>
      </c>
      <c r="Y43">
        <f t="shared" si="2"/>
        <v>9</v>
      </c>
      <c r="AA43" s="25">
        <f t="shared" si="3"/>
        <v>46.142857142857146</v>
      </c>
      <c r="AB43" s="25">
        <f t="shared" si="4"/>
        <v>28.799818121118822</v>
      </c>
      <c r="AC43">
        <f t="shared" si="5"/>
        <v>7</v>
      </c>
    </row>
    <row r="44" spans="1:29">
      <c r="A44" s="3">
        <v>42</v>
      </c>
      <c r="B44" s="3">
        <v>126</v>
      </c>
      <c r="C44" s="7" t="s">
        <v>73</v>
      </c>
      <c r="D44" s="11">
        <v>63.4</v>
      </c>
      <c r="E44" s="11"/>
      <c r="F44" s="11"/>
      <c r="G44" s="11"/>
      <c r="H44" s="11"/>
      <c r="I44" s="11">
        <v>23.3</v>
      </c>
      <c r="J44" s="11">
        <v>54.5</v>
      </c>
      <c r="K44" s="11"/>
      <c r="L44" s="11"/>
      <c r="M44" s="28">
        <v>175.3</v>
      </c>
      <c r="N44" s="11"/>
      <c r="O44" s="11"/>
      <c r="P44" s="11">
        <v>184.7</v>
      </c>
      <c r="Q44" s="28">
        <v>666.4</v>
      </c>
      <c r="R44" s="11">
        <v>27.2</v>
      </c>
      <c r="S44" s="11">
        <v>100.9</v>
      </c>
      <c r="T44" s="11"/>
      <c r="U44" s="11">
        <v>116.2</v>
      </c>
      <c r="W44" s="25">
        <f t="shared" si="0"/>
        <v>156.87777777777779</v>
      </c>
      <c r="X44" s="25">
        <f t="shared" si="1"/>
        <v>199.81028363035881</v>
      </c>
      <c r="Y44">
        <f t="shared" si="2"/>
        <v>9</v>
      </c>
      <c r="AA44" s="25">
        <f t="shared" si="3"/>
        <v>81.45714285714287</v>
      </c>
      <c r="AB44" s="25">
        <f t="shared" si="4"/>
        <v>57.188310493866261</v>
      </c>
      <c r="AC44">
        <f t="shared" si="5"/>
        <v>7</v>
      </c>
    </row>
    <row r="45" spans="1:29">
      <c r="A45" s="3">
        <v>43</v>
      </c>
      <c r="B45" s="3">
        <v>129</v>
      </c>
      <c r="C45" s="7" t="s">
        <v>73</v>
      </c>
      <c r="D45" s="11">
        <v>150.1</v>
      </c>
      <c r="E45" s="11"/>
      <c r="F45" s="11"/>
      <c r="G45" s="11"/>
      <c r="H45" s="11"/>
      <c r="I45" s="11">
        <v>32.4</v>
      </c>
      <c r="J45" s="11">
        <v>169.4</v>
      </c>
      <c r="K45" s="11"/>
      <c r="L45" s="11"/>
      <c r="M45" s="28">
        <v>300.3</v>
      </c>
      <c r="N45" s="11"/>
      <c r="O45" s="11"/>
      <c r="P45" s="11">
        <v>298.60000000000002</v>
      </c>
      <c r="Q45" s="28">
        <v>801.7</v>
      </c>
      <c r="R45" s="11">
        <v>76.599999999999994</v>
      </c>
      <c r="S45" s="11">
        <v>106.3</v>
      </c>
      <c r="T45" s="11"/>
      <c r="U45" s="11">
        <v>155.6</v>
      </c>
      <c r="W45" s="25">
        <f t="shared" si="0"/>
        <v>232.33333333333334</v>
      </c>
      <c r="X45" s="25">
        <f t="shared" si="1"/>
        <v>231.81638207857529</v>
      </c>
      <c r="Y45">
        <f t="shared" si="2"/>
        <v>9</v>
      </c>
      <c r="AA45" s="25">
        <f t="shared" si="3"/>
        <v>141.28571428571428</v>
      </c>
      <c r="AB45" s="25">
        <f t="shared" si="4"/>
        <v>84.739924250053235</v>
      </c>
      <c r="AC45">
        <f t="shared" si="5"/>
        <v>7</v>
      </c>
    </row>
    <row r="46" spans="1:29">
      <c r="A46" s="2">
        <v>44</v>
      </c>
      <c r="B46" s="2">
        <v>132</v>
      </c>
      <c r="C46" s="5" t="s">
        <v>69</v>
      </c>
      <c r="D46" s="10">
        <v>75.099999999999994</v>
      </c>
      <c r="I46">
        <v>22</v>
      </c>
      <c r="J46" s="10">
        <v>112.5</v>
      </c>
      <c r="M46" s="27">
        <v>202.4</v>
      </c>
      <c r="P46" s="10">
        <v>117.4</v>
      </c>
      <c r="Q46" s="30">
        <v>608.1</v>
      </c>
      <c r="R46" s="20">
        <v>36.200000000000003</v>
      </c>
      <c r="S46" s="22">
        <v>88.7</v>
      </c>
      <c r="U46" s="20">
        <v>70</v>
      </c>
      <c r="W46" s="25">
        <f t="shared" si="0"/>
        <v>148.04444444444445</v>
      </c>
      <c r="X46" s="25">
        <f t="shared" si="1"/>
        <v>180.3254357481988</v>
      </c>
      <c r="Y46">
        <f t="shared" si="2"/>
        <v>9</v>
      </c>
      <c r="AA46" s="25">
        <f t="shared" si="3"/>
        <v>74.55714285714285</v>
      </c>
      <c r="AB46" s="25">
        <f t="shared" si="4"/>
        <v>35.892843165124027</v>
      </c>
      <c r="AC46">
        <f t="shared" si="5"/>
        <v>7</v>
      </c>
    </row>
    <row r="47" spans="1:29">
      <c r="A47" s="2">
        <v>45</v>
      </c>
      <c r="B47" s="2">
        <v>135</v>
      </c>
      <c r="C47" s="5" t="s">
        <v>69</v>
      </c>
      <c r="D47" s="10">
        <v>89.1</v>
      </c>
      <c r="I47">
        <v>15.4</v>
      </c>
      <c r="J47" s="10">
        <v>67.5</v>
      </c>
      <c r="M47" s="27">
        <v>218.9</v>
      </c>
      <c r="P47" s="10">
        <v>91.5</v>
      </c>
      <c r="Q47" s="30">
        <v>393.6</v>
      </c>
      <c r="R47" s="20">
        <v>25.4</v>
      </c>
      <c r="S47" s="22">
        <v>63.1</v>
      </c>
      <c r="U47" s="20">
        <v>53</v>
      </c>
      <c r="W47" s="25">
        <f t="shared" si="0"/>
        <v>113.05555555555556</v>
      </c>
      <c r="X47" s="25">
        <f t="shared" si="1"/>
        <v>120.59455948664424</v>
      </c>
      <c r="Y47">
        <f t="shared" si="2"/>
        <v>9</v>
      </c>
      <c r="AA47" s="25">
        <f t="shared" si="3"/>
        <v>57.857142857142854</v>
      </c>
      <c r="AB47" s="25">
        <f t="shared" si="4"/>
        <v>29.177894437562202</v>
      </c>
      <c r="AC47">
        <f t="shared" si="5"/>
        <v>7</v>
      </c>
    </row>
    <row r="48" spans="1:29">
      <c r="A48" s="2">
        <v>46</v>
      </c>
      <c r="B48" s="2">
        <v>138</v>
      </c>
      <c r="C48" s="5" t="s">
        <v>69</v>
      </c>
      <c r="D48" s="10">
        <v>65.8</v>
      </c>
      <c r="I48">
        <v>21.6</v>
      </c>
      <c r="J48" s="10">
        <v>75.099999999999994</v>
      </c>
      <c r="M48" s="27">
        <v>216.3</v>
      </c>
      <c r="P48" s="10">
        <v>85.1</v>
      </c>
      <c r="Q48" s="30">
        <v>452.4</v>
      </c>
      <c r="R48" s="20">
        <v>20.7</v>
      </c>
      <c r="S48" s="22">
        <v>43.7</v>
      </c>
      <c r="U48" s="20">
        <v>54.3</v>
      </c>
      <c r="W48" s="25">
        <f t="shared" si="0"/>
        <v>115</v>
      </c>
      <c r="X48" s="25">
        <f t="shared" si="1"/>
        <v>139.3697151464406</v>
      </c>
      <c r="Y48">
        <f t="shared" si="2"/>
        <v>9</v>
      </c>
      <c r="AA48" s="25">
        <f t="shared" si="3"/>
        <v>52.328571428571429</v>
      </c>
      <c r="AB48" s="25">
        <f t="shared" si="4"/>
        <v>25.155961141494487</v>
      </c>
      <c r="AC48">
        <f t="shared" si="5"/>
        <v>7</v>
      </c>
    </row>
    <row r="49" spans="1:29">
      <c r="A49" s="2">
        <v>47</v>
      </c>
      <c r="B49" s="2">
        <v>141</v>
      </c>
      <c r="C49" s="5" t="s">
        <v>69</v>
      </c>
      <c r="D49" s="10">
        <v>52.4</v>
      </c>
      <c r="I49">
        <v>13.6</v>
      </c>
      <c r="J49" s="10">
        <v>66.8</v>
      </c>
      <c r="M49" s="27">
        <v>169.5</v>
      </c>
      <c r="P49" s="10">
        <v>107.8</v>
      </c>
      <c r="Q49" s="30">
        <v>400.9</v>
      </c>
      <c r="R49" s="20">
        <v>19.7</v>
      </c>
      <c r="S49" s="22">
        <v>47</v>
      </c>
      <c r="U49" s="20">
        <v>61</v>
      </c>
      <c r="W49" s="25">
        <f t="shared" si="0"/>
        <v>104.30000000000001</v>
      </c>
      <c r="X49" s="25">
        <f t="shared" si="1"/>
        <v>120.87004384875517</v>
      </c>
      <c r="Y49">
        <f t="shared" si="2"/>
        <v>9</v>
      </c>
      <c r="AA49" s="25">
        <f t="shared" si="3"/>
        <v>52.614285714285714</v>
      </c>
      <c r="AB49" s="25">
        <f t="shared" si="4"/>
        <v>31.501451213736615</v>
      </c>
      <c r="AC49">
        <f t="shared" si="5"/>
        <v>7</v>
      </c>
    </row>
    <row r="50" spans="1:29">
      <c r="A50" s="2">
        <v>48</v>
      </c>
      <c r="B50" s="2">
        <v>144</v>
      </c>
      <c r="C50" s="5" t="s">
        <v>69</v>
      </c>
      <c r="D50" s="10">
        <v>40</v>
      </c>
      <c r="I50">
        <v>15.3</v>
      </c>
      <c r="J50" s="10">
        <v>47.1</v>
      </c>
      <c r="M50" s="27">
        <v>157.80000000000001</v>
      </c>
      <c r="P50" s="10">
        <v>120.8</v>
      </c>
      <c r="Q50" s="30">
        <v>460.6</v>
      </c>
      <c r="R50" s="20">
        <v>21.3</v>
      </c>
      <c r="S50" s="22">
        <v>45</v>
      </c>
      <c r="U50" s="20">
        <v>65.099999999999994</v>
      </c>
      <c r="W50" s="25">
        <f t="shared" si="0"/>
        <v>108.11111111111113</v>
      </c>
      <c r="X50" s="25">
        <f t="shared" si="1"/>
        <v>140.18868039578342</v>
      </c>
      <c r="Y50">
        <f t="shared" si="2"/>
        <v>9</v>
      </c>
      <c r="AA50" s="25">
        <f t="shared" si="3"/>
        <v>50.657142857142858</v>
      </c>
      <c r="AB50" s="25">
        <f t="shared" si="4"/>
        <v>35.116038934882582</v>
      </c>
      <c r="AC50">
        <f t="shared" si="5"/>
        <v>7</v>
      </c>
    </row>
    <row r="51" spans="1:29">
      <c r="A51" s="2">
        <v>49</v>
      </c>
      <c r="B51" s="2">
        <v>147</v>
      </c>
      <c r="C51" s="5" t="s">
        <v>69</v>
      </c>
      <c r="D51" s="10">
        <v>57.9</v>
      </c>
      <c r="I51">
        <v>14.4</v>
      </c>
      <c r="J51" s="10">
        <v>58.4</v>
      </c>
      <c r="M51" s="27">
        <v>148.19999999999999</v>
      </c>
      <c r="P51" s="10">
        <v>125.9</v>
      </c>
      <c r="Q51" s="30">
        <v>534.20000000000005</v>
      </c>
      <c r="R51" s="20">
        <v>20.8</v>
      </c>
      <c r="S51" s="22">
        <v>49</v>
      </c>
      <c r="U51" s="20">
        <v>71.599999999999994</v>
      </c>
      <c r="W51" s="25">
        <f t="shared" si="0"/>
        <v>120.04444444444442</v>
      </c>
      <c r="X51" s="25">
        <f t="shared" si="1"/>
        <v>161.40717232445959</v>
      </c>
      <c r="Y51">
        <f t="shared" si="2"/>
        <v>9</v>
      </c>
      <c r="AA51" s="25">
        <f t="shared" si="3"/>
        <v>56.857142857142854</v>
      </c>
      <c r="AB51" s="25">
        <f t="shared" si="4"/>
        <v>36.860541556107435</v>
      </c>
      <c r="AC51">
        <f t="shared" si="5"/>
        <v>7</v>
      </c>
    </row>
    <row r="52" spans="1:29" ht="17.100000000000001" thickBot="1">
      <c r="A52" s="4">
        <v>50</v>
      </c>
      <c r="B52" s="4">
        <v>150</v>
      </c>
      <c r="C52" s="8" t="s">
        <v>69</v>
      </c>
      <c r="D52" s="13">
        <v>57</v>
      </c>
      <c r="E52" s="13"/>
      <c r="F52" s="13"/>
      <c r="G52" s="13"/>
      <c r="H52" s="13"/>
      <c r="I52" s="13">
        <v>12.2</v>
      </c>
      <c r="J52" s="13">
        <v>30.7</v>
      </c>
      <c r="K52" s="13"/>
      <c r="L52" s="13"/>
      <c r="M52" s="29">
        <v>142.30000000000001</v>
      </c>
      <c r="N52" s="13"/>
      <c r="O52" s="13"/>
      <c r="P52" s="13">
        <v>125.4</v>
      </c>
      <c r="Q52" s="29">
        <v>529.9</v>
      </c>
      <c r="R52" s="13">
        <v>21.1</v>
      </c>
      <c r="S52" s="13">
        <v>50.1</v>
      </c>
      <c r="T52" s="13"/>
      <c r="U52" s="13">
        <v>71.400000000000006</v>
      </c>
      <c r="W52" s="25">
        <f t="shared" si="0"/>
        <v>115.56666666666668</v>
      </c>
      <c r="X52" s="25">
        <f t="shared" si="1"/>
        <v>161.61724846067639</v>
      </c>
      <c r="Y52">
        <f t="shared" si="2"/>
        <v>9</v>
      </c>
      <c r="AA52" s="25">
        <f t="shared" si="3"/>
        <v>52.557142857142857</v>
      </c>
      <c r="AB52" s="25">
        <f t="shared" si="4"/>
        <v>38.259850894589107</v>
      </c>
      <c r="AC52">
        <f t="shared" si="5"/>
        <v>7</v>
      </c>
    </row>
    <row r="54" spans="1:29">
      <c r="A54" t="s">
        <v>74</v>
      </c>
      <c r="M54" t="s">
        <v>85</v>
      </c>
      <c r="Q54" t="s">
        <v>86</v>
      </c>
    </row>
    <row r="55" spans="1:29">
      <c r="A55" s="9" t="s">
        <v>12</v>
      </c>
      <c r="B55" s="9" t="s">
        <v>14</v>
      </c>
      <c r="M55" t="s">
        <v>87</v>
      </c>
      <c r="Q55" t="s">
        <v>88</v>
      </c>
    </row>
    <row r="56" spans="1:29">
      <c r="A56" s="2">
        <v>1</v>
      </c>
      <c r="B56" t="s">
        <v>21</v>
      </c>
      <c r="H56" t="s">
        <v>89</v>
      </c>
    </row>
    <row r="57" spans="1:29">
      <c r="A57" s="2">
        <v>2</v>
      </c>
      <c r="B57" s="17" t="s">
        <v>24</v>
      </c>
      <c r="E57" t="s">
        <v>75</v>
      </c>
    </row>
    <row r="58" spans="1:29">
      <c r="A58" s="2">
        <v>3</v>
      </c>
      <c r="B58" s="17" t="s">
        <v>28</v>
      </c>
      <c r="E58" t="s">
        <v>75</v>
      </c>
    </row>
    <row r="59" spans="1:29">
      <c r="A59" s="2">
        <v>4</v>
      </c>
      <c r="B59" s="17" t="s">
        <v>30</v>
      </c>
      <c r="E59" t="s">
        <v>75</v>
      </c>
    </row>
    <row r="60" spans="1:29">
      <c r="A60" s="2">
        <v>5</v>
      </c>
      <c r="B60" s="17" t="s">
        <v>32</v>
      </c>
      <c r="E60" t="s">
        <v>75</v>
      </c>
    </row>
    <row r="61" spans="1:29">
      <c r="A61" s="2">
        <v>6</v>
      </c>
      <c r="B61" t="s">
        <v>34</v>
      </c>
    </row>
    <row r="62" spans="1:29">
      <c r="A62" s="2">
        <v>7</v>
      </c>
      <c r="B62" s="16" t="s">
        <v>36</v>
      </c>
      <c r="E62" t="s">
        <v>76</v>
      </c>
    </row>
    <row r="63" spans="1:29">
      <c r="A63" s="2">
        <v>8</v>
      </c>
      <c r="B63" s="17" t="s">
        <v>38</v>
      </c>
      <c r="E63" t="s">
        <v>75</v>
      </c>
    </row>
    <row r="64" spans="1:29">
      <c r="A64" s="2">
        <v>9</v>
      </c>
      <c r="B64" s="17" t="s">
        <v>39</v>
      </c>
      <c r="E64" t="s">
        <v>75</v>
      </c>
    </row>
    <row r="65" spans="1:8">
      <c r="A65" s="2">
        <v>10</v>
      </c>
      <c r="B65" s="31" t="s">
        <v>40</v>
      </c>
      <c r="E65" t="s">
        <v>90</v>
      </c>
    </row>
    <row r="66" spans="1:8">
      <c r="A66" s="2">
        <v>11</v>
      </c>
      <c r="B66" s="17" t="s">
        <v>44</v>
      </c>
      <c r="E66" t="s">
        <v>58</v>
      </c>
    </row>
    <row r="67" spans="1:8">
      <c r="A67" s="2">
        <v>12</v>
      </c>
      <c r="B67" s="17" t="s">
        <v>46</v>
      </c>
      <c r="E67" t="s">
        <v>77</v>
      </c>
    </row>
    <row r="68" spans="1:8">
      <c r="A68" s="2">
        <v>13</v>
      </c>
      <c r="B68" s="19" t="s">
        <v>48</v>
      </c>
      <c r="E68" t="s">
        <v>76</v>
      </c>
      <c r="H68" t="s">
        <v>89</v>
      </c>
    </row>
    <row r="69" spans="1:8">
      <c r="A69" s="2"/>
    </row>
    <row r="70" spans="1:8">
      <c r="A70" s="5" t="s">
        <v>91</v>
      </c>
    </row>
    <row r="71" spans="1:8">
      <c r="A71" s="18" t="s">
        <v>12</v>
      </c>
      <c r="B71" s="1" t="s">
        <v>14</v>
      </c>
    </row>
    <row r="72" spans="1:8">
      <c r="A72" s="2">
        <v>14</v>
      </c>
      <c r="B72" s="31" t="s">
        <v>79</v>
      </c>
      <c r="E72" t="s">
        <v>92</v>
      </c>
    </row>
    <row r="73" spans="1:8">
      <c r="A73" s="2">
        <v>15</v>
      </c>
      <c r="B73" t="s">
        <v>80</v>
      </c>
    </row>
    <row r="74" spans="1:8">
      <c r="A74" s="2">
        <v>16</v>
      </c>
      <c r="B74" t="s">
        <v>81</v>
      </c>
    </row>
    <row r="75" spans="1:8">
      <c r="A75" s="2">
        <v>17</v>
      </c>
      <c r="B75" s="17" t="s">
        <v>82</v>
      </c>
      <c r="E75" t="s">
        <v>58</v>
      </c>
    </row>
    <row r="76" spans="1:8">
      <c r="A76" s="2">
        <v>18</v>
      </c>
      <c r="B76" t="s">
        <v>83</v>
      </c>
      <c r="H76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9053-A8B9-9444-9492-9F183C2A1A4B}">
  <dimension ref="A2:AC76"/>
  <sheetViews>
    <sheetView topLeftCell="A23" zoomScale="90" zoomScaleNormal="90" workbookViewId="0">
      <selection activeCell="E61" sqref="E61"/>
    </sheetView>
  </sheetViews>
  <sheetFormatPr defaultColWidth="11" defaultRowHeight="15.95"/>
  <cols>
    <col min="2" max="2" width="12.375" bestFit="1" customWidth="1"/>
    <col min="3" max="3" width="30" bestFit="1" customWidth="1"/>
    <col min="4" max="4" width="15.125" customWidth="1"/>
  </cols>
  <sheetData>
    <row r="2" spans="1:29">
      <c r="A2" s="14" t="s">
        <v>61</v>
      </c>
      <c r="B2" s="14" t="s">
        <v>62</v>
      </c>
      <c r="C2" s="14" t="s">
        <v>63</v>
      </c>
      <c r="D2" s="15">
        <v>1</v>
      </c>
      <c r="E2" s="15">
        <v>2</v>
      </c>
      <c r="F2" s="15">
        <v>3</v>
      </c>
      <c r="G2" s="15">
        <v>4</v>
      </c>
      <c r="H2" s="15">
        <v>5</v>
      </c>
      <c r="I2" s="15">
        <v>6</v>
      </c>
      <c r="J2" s="15">
        <v>7</v>
      </c>
      <c r="K2" s="15">
        <v>8</v>
      </c>
      <c r="L2" s="15">
        <v>9</v>
      </c>
      <c r="M2" s="15">
        <v>10</v>
      </c>
      <c r="N2" s="15">
        <v>11</v>
      </c>
      <c r="O2" s="15">
        <v>12</v>
      </c>
      <c r="P2" s="15">
        <v>13</v>
      </c>
      <c r="Q2" s="15">
        <v>14</v>
      </c>
      <c r="R2" s="15">
        <v>15</v>
      </c>
      <c r="S2" s="15">
        <v>16</v>
      </c>
      <c r="T2" s="15">
        <v>17</v>
      </c>
      <c r="U2" s="15">
        <v>18</v>
      </c>
      <c r="W2" s="26" t="s">
        <v>64</v>
      </c>
      <c r="X2" s="26" t="s">
        <v>67</v>
      </c>
      <c r="Y2" s="26" t="s">
        <v>66</v>
      </c>
      <c r="AA2" s="26" t="s">
        <v>64</v>
      </c>
      <c r="AB2" s="26" t="s">
        <v>67</v>
      </c>
      <c r="AC2" s="26" t="s">
        <v>66</v>
      </c>
    </row>
    <row r="3" spans="1:29">
      <c r="A3" s="2">
        <v>1</v>
      </c>
      <c r="B3" s="2">
        <v>3</v>
      </c>
      <c r="C3" s="5" t="s">
        <v>68</v>
      </c>
      <c r="D3" s="10">
        <v>0.17100000000000001</v>
      </c>
      <c r="I3">
        <v>7.4999999999999997E-2</v>
      </c>
      <c r="J3" s="10">
        <v>8.0000000000000002E-3</v>
      </c>
      <c r="M3" s="27">
        <v>0.66400000000000003</v>
      </c>
      <c r="P3" s="10">
        <v>3.7999999999999999E-2</v>
      </c>
      <c r="Q3" s="30">
        <v>0.36199999999999999</v>
      </c>
      <c r="R3" s="20">
        <v>4.7E-2</v>
      </c>
      <c r="S3" s="21">
        <v>2.7E-2</v>
      </c>
      <c r="U3" s="20">
        <v>6.5000000000000002E-2</v>
      </c>
      <c r="W3" s="25">
        <f>AVERAGE(D3:U3)</f>
        <v>0.16188888888888886</v>
      </c>
      <c r="X3" s="25">
        <f>_xlfn.STDEV.S(D3:U3)</f>
        <v>0.21783161182691352</v>
      </c>
      <c r="Y3">
        <f>COUNT(D3:U3)</f>
        <v>9</v>
      </c>
      <c r="AA3" s="25">
        <f>AVERAGE(D3,I3:J3,P3,R3:S3,U3)</f>
        <v>6.1571428571428569E-2</v>
      </c>
      <c r="AB3" s="25">
        <f>_xlfn.STDEV.S(D3,I3:J3,P3,R3:S3,U3)</f>
        <v>5.3228617437293221E-2</v>
      </c>
      <c r="AC3">
        <f>COUNT(D3,I3:J3,P3,R3:S3,U3)</f>
        <v>7</v>
      </c>
    </row>
    <row r="4" spans="1:29">
      <c r="A4" s="2">
        <v>2</v>
      </c>
      <c r="B4" s="2">
        <v>6</v>
      </c>
      <c r="C4" s="5" t="s">
        <v>69</v>
      </c>
      <c r="D4" s="10">
        <v>0.14499999999999999</v>
      </c>
      <c r="I4">
        <v>8.4000000000000005E-2</v>
      </c>
      <c r="J4" s="10">
        <v>4.0000000000000001E-3</v>
      </c>
      <c r="M4" s="27">
        <v>0.70399999999999996</v>
      </c>
      <c r="P4" s="10">
        <v>3.2000000000000001E-2</v>
      </c>
      <c r="Q4" s="30">
        <v>0.29099999999999998</v>
      </c>
      <c r="R4" s="20">
        <v>4.3999999999999997E-2</v>
      </c>
      <c r="S4" s="22">
        <v>2.7E-2</v>
      </c>
      <c r="U4" s="20">
        <v>5.6000000000000001E-2</v>
      </c>
      <c r="W4" s="25">
        <f t="shared" ref="W4:W52" si="0">AVERAGE(D4:U4)</f>
        <v>0.15411111111111112</v>
      </c>
      <c r="X4" s="25">
        <f t="shared" ref="X4:X52" si="1">_xlfn.STDEV.S(D4:U4)</f>
        <v>0.2240164304489988</v>
      </c>
      <c r="Y4">
        <f t="shared" ref="Y4:Y52" si="2">COUNT(D4:U4)</f>
        <v>9</v>
      </c>
      <c r="AA4" s="25">
        <f t="shared" ref="AA4:AA52" si="3">AVERAGE(D4,I4:J4,P4,R4:S4,U4)</f>
        <v>5.6000000000000001E-2</v>
      </c>
      <c r="AB4" s="25">
        <f t="shared" ref="AB4:AB52" si="4">_xlfn.STDEV.S(D4,I4:J4,P4,R4:S4,U4)</f>
        <v>4.6493727175466001E-2</v>
      </c>
      <c r="AC4">
        <f t="shared" ref="AC4:AC52" si="5">COUNT(D4,I4:J4,P4,R4:S4,U4)</f>
        <v>7</v>
      </c>
    </row>
    <row r="5" spans="1:29">
      <c r="A5" s="2">
        <v>3</v>
      </c>
      <c r="B5" s="2">
        <v>9</v>
      </c>
      <c r="C5" s="5" t="s">
        <v>69</v>
      </c>
      <c r="D5" s="10">
        <v>0.13</v>
      </c>
      <c r="I5">
        <v>6.6000000000000003E-2</v>
      </c>
      <c r="J5" s="10">
        <v>7.0000000000000001E-3</v>
      </c>
      <c r="M5" s="27">
        <v>0.69099999999999995</v>
      </c>
      <c r="P5" s="10">
        <v>3.2000000000000001E-2</v>
      </c>
      <c r="Q5" s="30">
        <v>0.25800000000000001</v>
      </c>
      <c r="R5" s="20">
        <v>4.2999999999999997E-2</v>
      </c>
      <c r="S5" s="22">
        <v>2.5000000000000001E-2</v>
      </c>
      <c r="U5" s="20">
        <v>5.3999999999999999E-2</v>
      </c>
      <c r="W5" s="25">
        <f t="shared" si="0"/>
        <v>0.14511111111111108</v>
      </c>
      <c r="X5" s="25">
        <f t="shared" si="1"/>
        <v>0.21858890893892835</v>
      </c>
      <c r="Y5">
        <f t="shared" si="2"/>
        <v>9</v>
      </c>
      <c r="AA5" s="25">
        <f t="shared" si="3"/>
        <v>5.1000000000000004E-2</v>
      </c>
      <c r="AB5" s="25">
        <f t="shared" si="4"/>
        <v>3.9816244591037629E-2</v>
      </c>
      <c r="AC5">
        <f t="shared" si="5"/>
        <v>7</v>
      </c>
    </row>
    <row r="6" spans="1:29">
      <c r="A6" s="3">
        <v>4</v>
      </c>
      <c r="B6" s="3">
        <v>12</v>
      </c>
      <c r="C6" s="6" t="s">
        <v>70</v>
      </c>
      <c r="D6" s="11">
        <v>0.13400000000000001</v>
      </c>
      <c r="E6" s="11"/>
      <c r="F6" s="11"/>
      <c r="G6" s="11"/>
      <c r="H6" s="11"/>
      <c r="I6" s="11">
        <v>8.2000000000000003E-2</v>
      </c>
      <c r="J6" s="11">
        <v>8.9999999999999993E-3</v>
      </c>
      <c r="K6" s="11"/>
      <c r="L6" s="11"/>
      <c r="M6" s="28">
        <v>0.77400000000000002</v>
      </c>
      <c r="N6" s="11"/>
      <c r="O6" s="11"/>
      <c r="P6" s="11">
        <v>3.4000000000000002E-2</v>
      </c>
      <c r="Q6" s="28">
        <v>0.34599999999999997</v>
      </c>
      <c r="R6" s="11">
        <v>4.3999999999999997E-2</v>
      </c>
      <c r="S6" s="11">
        <v>2.5000000000000001E-2</v>
      </c>
      <c r="T6" s="11"/>
      <c r="U6" s="11">
        <v>4.8000000000000001E-2</v>
      </c>
      <c r="W6" s="25">
        <f t="shared" si="0"/>
        <v>0.16622222222222222</v>
      </c>
      <c r="X6" s="25">
        <f t="shared" si="1"/>
        <v>0.25022628647774886</v>
      </c>
      <c r="Y6">
        <f t="shared" si="2"/>
        <v>9</v>
      </c>
      <c r="AA6" s="25">
        <f t="shared" si="3"/>
        <v>5.3714285714285714E-2</v>
      </c>
      <c r="AB6" s="25">
        <f t="shared" si="4"/>
        <v>4.2002834371481369E-2</v>
      </c>
      <c r="AC6">
        <f t="shared" si="5"/>
        <v>7</v>
      </c>
    </row>
    <row r="7" spans="1:29">
      <c r="A7" s="3">
        <v>5</v>
      </c>
      <c r="B7" s="3">
        <v>15</v>
      </c>
      <c r="C7" s="6" t="s">
        <v>70</v>
      </c>
      <c r="D7" s="11">
        <v>0.155</v>
      </c>
      <c r="E7" s="11"/>
      <c r="F7" s="11"/>
      <c r="G7" s="11"/>
      <c r="H7" s="11"/>
      <c r="I7" s="11">
        <v>0.05</v>
      </c>
      <c r="J7" s="11">
        <v>6.0000000000000001E-3</v>
      </c>
      <c r="K7" s="11"/>
      <c r="L7" s="11"/>
      <c r="M7" s="28">
        <v>0.59899999999999998</v>
      </c>
      <c r="N7" s="11"/>
      <c r="O7" s="11"/>
      <c r="P7" s="11">
        <v>2.9000000000000001E-2</v>
      </c>
      <c r="Q7" s="28">
        <v>0.26900000000000002</v>
      </c>
      <c r="R7" s="11">
        <v>4.2999999999999997E-2</v>
      </c>
      <c r="S7" s="11">
        <v>2.7E-2</v>
      </c>
      <c r="T7" s="11"/>
      <c r="U7" s="11">
        <v>4.4999999999999998E-2</v>
      </c>
      <c r="W7" s="25">
        <f t="shared" si="0"/>
        <v>0.13588888888888886</v>
      </c>
      <c r="X7" s="25">
        <f t="shared" si="1"/>
        <v>0.19267034310217832</v>
      </c>
      <c r="Y7">
        <f t="shared" si="2"/>
        <v>9</v>
      </c>
      <c r="AA7" s="25">
        <f t="shared" si="3"/>
        <v>5.0714285714285719E-2</v>
      </c>
      <c r="AB7" s="25">
        <f t="shared" si="4"/>
        <v>4.8307053610952402E-2</v>
      </c>
      <c r="AC7">
        <f t="shared" si="5"/>
        <v>7</v>
      </c>
    </row>
    <row r="8" spans="1:29">
      <c r="A8" s="3">
        <v>6</v>
      </c>
      <c r="B8" s="3">
        <v>18</v>
      </c>
      <c r="C8" s="6" t="s">
        <v>70</v>
      </c>
      <c r="D8" s="11">
        <v>0.12</v>
      </c>
      <c r="E8" s="11"/>
      <c r="F8" s="11"/>
      <c r="G8" s="11"/>
      <c r="H8" s="11"/>
      <c r="I8" s="11">
        <v>6.9000000000000006E-2</v>
      </c>
      <c r="J8" s="11">
        <v>7.0000000000000001E-3</v>
      </c>
      <c r="K8" s="11"/>
      <c r="L8" s="11"/>
      <c r="M8" s="28">
        <v>0.82199999999999995</v>
      </c>
      <c r="N8" s="11"/>
      <c r="O8" s="11"/>
      <c r="P8" s="11">
        <v>2.3E-2</v>
      </c>
      <c r="Q8" s="28">
        <v>0.34399999999999997</v>
      </c>
      <c r="R8" s="11">
        <v>3.5999999999999997E-2</v>
      </c>
      <c r="S8" s="11">
        <v>2.7E-2</v>
      </c>
      <c r="T8" s="11"/>
      <c r="U8" s="11">
        <v>2.8000000000000001E-2</v>
      </c>
      <c r="W8" s="25">
        <f t="shared" si="0"/>
        <v>0.16399999999999998</v>
      </c>
      <c r="X8" s="25">
        <f t="shared" si="1"/>
        <v>0.26797947682611811</v>
      </c>
      <c r="Y8">
        <f t="shared" si="2"/>
        <v>9</v>
      </c>
      <c r="AA8" s="25">
        <f t="shared" si="3"/>
        <v>4.4285714285714296E-2</v>
      </c>
      <c r="AB8" s="25">
        <f t="shared" si="4"/>
        <v>3.8339337003980137E-2</v>
      </c>
      <c r="AC8">
        <f t="shared" si="5"/>
        <v>7</v>
      </c>
    </row>
    <row r="9" spans="1:29">
      <c r="A9" s="3">
        <v>7</v>
      </c>
      <c r="B9" s="3">
        <v>21</v>
      </c>
      <c r="C9" s="6" t="s">
        <v>70</v>
      </c>
      <c r="D9" s="11">
        <v>0.107</v>
      </c>
      <c r="E9" s="11"/>
      <c r="F9" s="11"/>
      <c r="G9" s="11"/>
      <c r="H9" s="11"/>
      <c r="I9" s="11">
        <v>3.6999999999999998E-2</v>
      </c>
      <c r="J9" s="11">
        <v>5.0000000000000001E-3</v>
      </c>
      <c r="K9" s="11"/>
      <c r="L9" s="11"/>
      <c r="M9" s="28">
        <v>0.625</v>
      </c>
      <c r="N9" s="11"/>
      <c r="O9" s="11"/>
      <c r="P9" s="11">
        <v>2.1000000000000001E-2</v>
      </c>
      <c r="Q9" s="28">
        <v>0.26500000000000001</v>
      </c>
      <c r="R9" s="11">
        <v>4.2000000000000003E-2</v>
      </c>
      <c r="S9" s="11">
        <v>3.3000000000000002E-2</v>
      </c>
      <c r="T9" s="11"/>
      <c r="U9" s="11">
        <v>2.1000000000000001E-2</v>
      </c>
      <c r="W9" s="25">
        <f t="shared" si="0"/>
        <v>0.12844444444444444</v>
      </c>
      <c r="X9" s="25">
        <f t="shared" si="1"/>
        <v>0.20277642313093944</v>
      </c>
      <c r="Y9">
        <f t="shared" si="2"/>
        <v>9</v>
      </c>
      <c r="AA9" s="25">
        <f t="shared" si="3"/>
        <v>3.7999999999999999E-2</v>
      </c>
      <c r="AB9" s="25">
        <f t="shared" si="4"/>
        <v>3.2837986133947575E-2</v>
      </c>
      <c r="AC9">
        <f t="shared" si="5"/>
        <v>7</v>
      </c>
    </row>
    <row r="10" spans="1:29">
      <c r="A10" s="3">
        <v>8</v>
      </c>
      <c r="B10" s="3">
        <v>24</v>
      </c>
      <c r="C10" s="6" t="s">
        <v>70</v>
      </c>
      <c r="D10" s="11">
        <v>6.9000000000000006E-2</v>
      </c>
      <c r="E10" s="11"/>
      <c r="F10" s="11"/>
      <c r="G10" s="11"/>
      <c r="H10" s="11"/>
      <c r="I10" s="11">
        <v>0.05</v>
      </c>
      <c r="J10" s="11">
        <v>3.0000000000000001E-3</v>
      </c>
      <c r="K10" s="11"/>
      <c r="L10" s="11"/>
      <c r="M10" s="28">
        <v>0.67100000000000004</v>
      </c>
      <c r="N10" s="11"/>
      <c r="O10" s="11"/>
      <c r="P10" s="11">
        <v>2.5000000000000001E-2</v>
      </c>
      <c r="Q10" s="28">
        <v>0.318</v>
      </c>
      <c r="R10" s="11">
        <v>4.1000000000000002E-2</v>
      </c>
      <c r="S10" s="11">
        <v>3.3000000000000002E-2</v>
      </c>
      <c r="T10" s="11"/>
      <c r="U10" s="11">
        <v>2.1999999999999999E-2</v>
      </c>
      <c r="W10" s="25">
        <f t="shared" si="0"/>
        <v>0.13688888888888889</v>
      </c>
      <c r="X10" s="25">
        <f t="shared" si="1"/>
        <v>0.22188591913663908</v>
      </c>
      <c r="Y10">
        <f t="shared" si="2"/>
        <v>9</v>
      </c>
      <c r="AA10" s="25">
        <f t="shared" si="3"/>
        <v>3.4714285714285718E-2</v>
      </c>
      <c r="AB10" s="25">
        <f t="shared" si="4"/>
        <v>2.1265890417240828E-2</v>
      </c>
      <c r="AC10">
        <f t="shared" si="5"/>
        <v>7</v>
      </c>
    </row>
    <row r="11" spans="1:29">
      <c r="A11" s="3">
        <v>9</v>
      </c>
      <c r="B11" s="3">
        <v>27</v>
      </c>
      <c r="C11" s="6" t="s">
        <v>70</v>
      </c>
      <c r="D11" s="11">
        <v>9.9000000000000005E-2</v>
      </c>
      <c r="E11" s="11"/>
      <c r="F11" s="11"/>
      <c r="G11" s="11"/>
      <c r="H11" s="11"/>
      <c r="I11" s="11">
        <v>5.6000000000000001E-2</v>
      </c>
      <c r="J11" s="11">
        <v>7.0000000000000001E-3</v>
      </c>
      <c r="K11" s="11"/>
      <c r="L11" s="11"/>
      <c r="M11" s="28">
        <v>0.69899999999999995</v>
      </c>
      <c r="N11" s="11"/>
      <c r="O11" s="11"/>
      <c r="P11" s="11">
        <v>2.7E-2</v>
      </c>
      <c r="Q11" s="28">
        <v>0.38900000000000001</v>
      </c>
      <c r="R11" s="11">
        <v>3.6999999999999998E-2</v>
      </c>
      <c r="S11" s="11">
        <v>3.7999999999999999E-2</v>
      </c>
      <c r="T11" s="11"/>
      <c r="U11" s="11">
        <v>2.8000000000000001E-2</v>
      </c>
      <c r="W11" s="25">
        <f t="shared" si="0"/>
        <v>0.15333333333333335</v>
      </c>
      <c r="X11" s="25">
        <f t="shared" si="1"/>
        <v>0.23601747816634258</v>
      </c>
      <c r="Y11">
        <f t="shared" si="2"/>
        <v>9</v>
      </c>
      <c r="AA11" s="25">
        <f t="shared" si="3"/>
        <v>4.1714285714285718E-2</v>
      </c>
      <c r="AB11" s="25">
        <f t="shared" si="4"/>
        <v>2.9244454093692619E-2</v>
      </c>
      <c r="AC11">
        <f t="shared" si="5"/>
        <v>7</v>
      </c>
    </row>
    <row r="12" spans="1:29">
      <c r="A12" s="3">
        <v>10</v>
      </c>
      <c r="B12" s="3">
        <v>30</v>
      </c>
      <c r="C12" s="6" t="s">
        <v>70</v>
      </c>
      <c r="D12" s="11">
        <v>8.7999999999999995E-2</v>
      </c>
      <c r="E12" s="11"/>
      <c r="F12" s="11"/>
      <c r="G12" s="11"/>
      <c r="H12" s="11"/>
      <c r="I12" s="11">
        <v>5.0999999999999997E-2</v>
      </c>
      <c r="J12" s="11">
        <v>1E-3</v>
      </c>
      <c r="K12" s="11"/>
      <c r="L12" s="11"/>
      <c r="M12" s="28">
        <v>0.72199999999999998</v>
      </c>
      <c r="N12" s="11"/>
      <c r="O12" s="11"/>
      <c r="P12" s="11">
        <v>2.8000000000000001E-2</v>
      </c>
      <c r="Q12" s="28">
        <v>0.373</v>
      </c>
      <c r="R12" s="11">
        <v>4.2000000000000003E-2</v>
      </c>
      <c r="S12" s="11">
        <v>3.7999999999999999E-2</v>
      </c>
      <c r="T12" s="11"/>
      <c r="U12" s="11">
        <v>3.5999999999999997E-2</v>
      </c>
      <c r="W12" s="25">
        <f t="shared" si="0"/>
        <v>0.15322222222222223</v>
      </c>
      <c r="X12" s="25">
        <f t="shared" si="1"/>
        <v>0.24102737281156356</v>
      </c>
      <c r="Y12">
        <f t="shared" si="2"/>
        <v>9</v>
      </c>
      <c r="AA12" s="25">
        <f t="shared" si="3"/>
        <v>4.0571428571428571E-2</v>
      </c>
      <c r="AB12" s="25">
        <f t="shared" si="4"/>
        <v>2.6177962378415052E-2</v>
      </c>
      <c r="AC12">
        <f t="shared" si="5"/>
        <v>7</v>
      </c>
    </row>
    <row r="13" spans="1:29">
      <c r="A13" s="3">
        <v>11</v>
      </c>
      <c r="B13" s="3">
        <v>33</v>
      </c>
      <c r="C13" s="6" t="s">
        <v>70</v>
      </c>
      <c r="D13" s="11">
        <v>0.10100000000000001</v>
      </c>
      <c r="E13" s="11"/>
      <c r="F13" s="11"/>
      <c r="G13" s="11"/>
      <c r="H13" s="11"/>
      <c r="I13" s="11">
        <v>5.1999999999999998E-2</v>
      </c>
      <c r="J13" s="11">
        <v>6.0000000000000001E-3</v>
      </c>
      <c r="K13" s="11"/>
      <c r="L13" s="11"/>
      <c r="M13" s="28">
        <v>0.76700000000000002</v>
      </c>
      <c r="N13" s="11"/>
      <c r="O13" s="11"/>
      <c r="P13" s="11">
        <v>2.5999999999999999E-2</v>
      </c>
      <c r="Q13" s="28">
        <v>0.42699999999999999</v>
      </c>
      <c r="R13" s="11">
        <v>0.04</v>
      </c>
      <c r="S13" s="11">
        <v>3.6999999999999998E-2</v>
      </c>
      <c r="T13" s="11"/>
      <c r="U13" s="11">
        <v>0.04</v>
      </c>
      <c r="W13" s="25">
        <f t="shared" si="0"/>
        <v>0.16622222222222222</v>
      </c>
      <c r="X13" s="25">
        <f t="shared" si="1"/>
        <v>0.25984022868763884</v>
      </c>
      <c r="Y13">
        <f t="shared" si="2"/>
        <v>9</v>
      </c>
      <c r="AA13" s="25">
        <f t="shared" si="3"/>
        <v>4.3142857142857143E-2</v>
      </c>
      <c r="AB13" s="25">
        <f t="shared" si="4"/>
        <v>2.9316824358654382E-2</v>
      </c>
      <c r="AC13">
        <f t="shared" si="5"/>
        <v>7</v>
      </c>
    </row>
    <row r="14" spans="1:29">
      <c r="A14" s="3">
        <v>12</v>
      </c>
      <c r="B14" s="3">
        <v>36</v>
      </c>
      <c r="C14" s="6" t="s">
        <v>70</v>
      </c>
      <c r="D14" s="11">
        <v>9.7000000000000003E-2</v>
      </c>
      <c r="E14" s="11"/>
      <c r="F14" s="11"/>
      <c r="G14" s="11"/>
      <c r="H14" s="11"/>
      <c r="I14" s="11">
        <v>5.8000000000000003E-2</v>
      </c>
      <c r="J14" s="11">
        <v>2E-3</v>
      </c>
      <c r="K14" s="11"/>
      <c r="L14" s="11"/>
      <c r="M14" s="28">
        <v>0.84499999999999997</v>
      </c>
      <c r="N14" s="11"/>
      <c r="O14" s="11"/>
      <c r="P14" s="11">
        <v>2.9000000000000001E-2</v>
      </c>
      <c r="Q14" s="28">
        <v>0.40600000000000003</v>
      </c>
      <c r="R14" s="11">
        <v>3.9E-2</v>
      </c>
      <c r="S14" s="11">
        <v>3.6999999999999998E-2</v>
      </c>
      <c r="T14" s="11"/>
      <c r="U14" s="11">
        <v>3.5999999999999997E-2</v>
      </c>
      <c r="W14" s="25">
        <f t="shared" si="0"/>
        <v>0.17211111111111108</v>
      </c>
      <c r="X14" s="25">
        <f t="shared" si="1"/>
        <v>0.28063875554012691</v>
      </c>
      <c r="Y14">
        <f t="shared" si="2"/>
        <v>9</v>
      </c>
      <c r="AA14" s="25">
        <f t="shared" si="3"/>
        <v>4.2571428571428573E-2</v>
      </c>
      <c r="AB14" s="25">
        <f t="shared" si="4"/>
        <v>2.9205348499074291E-2</v>
      </c>
      <c r="AC14">
        <f t="shared" si="5"/>
        <v>7</v>
      </c>
    </row>
    <row r="15" spans="1:29">
      <c r="A15" s="3">
        <v>13</v>
      </c>
      <c r="B15" s="3">
        <v>39</v>
      </c>
      <c r="C15" s="6" t="s">
        <v>70</v>
      </c>
      <c r="D15" s="11">
        <v>0.106</v>
      </c>
      <c r="E15" s="11"/>
      <c r="F15" s="11"/>
      <c r="G15" s="11"/>
      <c r="H15" s="11"/>
      <c r="I15" s="11">
        <v>4.2999999999999997E-2</v>
      </c>
      <c r="J15" s="11">
        <v>5.0000000000000001E-3</v>
      </c>
      <c r="K15" s="11"/>
      <c r="L15" s="11"/>
      <c r="M15" s="28">
        <v>0.76600000000000001</v>
      </c>
      <c r="N15" s="11"/>
      <c r="O15" s="11"/>
      <c r="P15" s="11">
        <v>2.8000000000000001E-2</v>
      </c>
      <c r="Q15" s="28">
        <v>0.34200000000000003</v>
      </c>
      <c r="R15" s="11">
        <v>3.9E-2</v>
      </c>
      <c r="S15" s="11">
        <v>3.7999999999999999E-2</v>
      </c>
      <c r="T15" s="11"/>
      <c r="U15" s="11">
        <v>3.3000000000000002E-2</v>
      </c>
      <c r="W15" s="25">
        <f t="shared" si="0"/>
        <v>0.15555555555555556</v>
      </c>
      <c r="X15" s="25">
        <f t="shared" si="1"/>
        <v>0.25097067115059041</v>
      </c>
      <c r="Y15">
        <f t="shared" si="2"/>
        <v>9</v>
      </c>
      <c r="AA15" s="25">
        <f t="shared" si="3"/>
        <v>4.1714285714285718E-2</v>
      </c>
      <c r="AB15" s="25">
        <f t="shared" si="4"/>
        <v>3.1003840007942478E-2</v>
      </c>
      <c r="AC15">
        <f t="shared" si="5"/>
        <v>7</v>
      </c>
    </row>
    <row r="16" spans="1:29">
      <c r="A16" s="2">
        <v>14</v>
      </c>
      <c r="B16" s="2">
        <v>42</v>
      </c>
      <c r="C16" s="5" t="s">
        <v>69</v>
      </c>
      <c r="D16" s="10">
        <v>0.10100000000000001</v>
      </c>
      <c r="I16">
        <v>5.5E-2</v>
      </c>
      <c r="J16" s="10">
        <v>8.0000000000000002E-3</v>
      </c>
      <c r="M16" s="27">
        <v>0.85399999999999998</v>
      </c>
      <c r="P16" s="10">
        <v>2.8000000000000001E-2</v>
      </c>
      <c r="Q16" s="30">
        <v>0.42199999999999999</v>
      </c>
      <c r="R16" s="20">
        <v>0.04</v>
      </c>
      <c r="S16" s="22">
        <v>0.04</v>
      </c>
      <c r="U16" s="20">
        <v>3.1E-2</v>
      </c>
      <c r="W16" s="25">
        <f t="shared" si="0"/>
        <v>0.17544444444444443</v>
      </c>
      <c r="X16" s="25">
        <f t="shared" si="1"/>
        <v>0.28473852527850496</v>
      </c>
      <c r="Y16">
        <f t="shared" si="2"/>
        <v>9</v>
      </c>
      <c r="AA16" s="25">
        <f t="shared" si="3"/>
        <v>4.3285714285714295E-2</v>
      </c>
      <c r="AB16" s="25">
        <f t="shared" si="4"/>
        <v>2.9210239561463625E-2</v>
      </c>
      <c r="AC16">
        <f t="shared" si="5"/>
        <v>7</v>
      </c>
    </row>
    <row r="17" spans="1:29">
      <c r="A17" s="2">
        <v>15</v>
      </c>
      <c r="B17" s="2">
        <v>45</v>
      </c>
      <c r="C17" s="5" t="s">
        <v>69</v>
      </c>
      <c r="D17" s="10">
        <v>9.8000000000000004E-2</v>
      </c>
      <c r="I17">
        <v>0.04</v>
      </c>
      <c r="J17" s="10">
        <v>8.0000000000000002E-3</v>
      </c>
      <c r="M17" s="27">
        <v>0.76900000000000002</v>
      </c>
      <c r="P17" s="10">
        <v>3.6999999999999998E-2</v>
      </c>
      <c r="Q17" s="30">
        <v>0.32400000000000001</v>
      </c>
      <c r="R17" s="20">
        <v>4.8000000000000001E-2</v>
      </c>
      <c r="S17" s="22">
        <v>4.1000000000000002E-2</v>
      </c>
      <c r="U17" s="20">
        <v>3.6999999999999998E-2</v>
      </c>
      <c r="W17" s="25">
        <f t="shared" si="0"/>
        <v>0.15577777777777777</v>
      </c>
      <c r="X17" s="25">
        <f t="shared" si="1"/>
        <v>0.24897980730260927</v>
      </c>
      <c r="Y17">
        <f t="shared" si="2"/>
        <v>9</v>
      </c>
      <c r="AA17" s="25">
        <f t="shared" si="3"/>
        <v>4.4142857142857143E-2</v>
      </c>
      <c r="AB17" s="25">
        <f t="shared" si="4"/>
        <v>2.6928476695551457E-2</v>
      </c>
      <c r="AC17">
        <f t="shared" si="5"/>
        <v>7</v>
      </c>
    </row>
    <row r="18" spans="1:29">
      <c r="A18" s="2">
        <v>16</v>
      </c>
      <c r="B18" s="2">
        <v>48</v>
      </c>
      <c r="C18" s="5" t="s">
        <v>69</v>
      </c>
      <c r="D18" s="10">
        <v>0.108</v>
      </c>
      <c r="I18">
        <v>7.0000000000000007E-2</v>
      </c>
      <c r="J18" s="10">
        <v>8.9999999999999993E-3</v>
      </c>
      <c r="M18" s="27">
        <v>1.069</v>
      </c>
      <c r="P18" s="10">
        <v>3.5999999999999997E-2</v>
      </c>
      <c r="Q18" s="30">
        <v>0.443</v>
      </c>
      <c r="R18" s="20">
        <v>0.05</v>
      </c>
      <c r="S18" s="22">
        <v>3.9E-2</v>
      </c>
      <c r="U18" s="20">
        <v>5.1999999999999998E-2</v>
      </c>
      <c r="W18" s="25">
        <f t="shared" si="0"/>
        <v>0.20844444444444446</v>
      </c>
      <c r="X18" s="25">
        <f t="shared" si="1"/>
        <v>0.34868220169343001</v>
      </c>
      <c r="Y18">
        <f t="shared" si="2"/>
        <v>9</v>
      </c>
      <c r="AA18" s="25">
        <f t="shared" si="3"/>
        <v>5.1999999999999998E-2</v>
      </c>
      <c r="AB18" s="25">
        <f t="shared" si="4"/>
        <v>3.0924639582917267E-2</v>
      </c>
      <c r="AC18">
        <f t="shared" si="5"/>
        <v>7</v>
      </c>
    </row>
    <row r="19" spans="1:29">
      <c r="A19" s="2">
        <v>17</v>
      </c>
      <c r="B19" s="2">
        <v>51</v>
      </c>
      <c r="C19" s="5" t="s">
        <v>69</v>
      </c>
      <c r="D19" s="10">
        <v>9.8000000000000004E-2</v>
      </c>
      <c r="I19">
        <v>5.8000000000000003E-2</v>
      </c>
      <c r="J19" s="10">
        <v>8.9999999999999993E-3</v>
      </c>
      <c r="M19" s="27">
        <v>0.83199999999999996</v>
      </c>
      <c r="P19" s="10">
        <v>3.9E-2</v>
      </c>
      <c r="Q19" s="30">
        <v>0.36299999999999999</v>
      </c>
      <c r="R19" s="20">
        <v>0.05</v>
      </c>
      <c r="S19" s="22">
        <v>4.1000000000000002E-2</v>
      </c>
      <c r="U19" s="20">
        <v>0.05</v>
      </c>
      <c r="W19" s="25">
        <f t="shared" si="0"/>
        <v>0.1711111111111111</v>
      </c>
      <c r="X19" s="25">
        <f t="shared" si="1"/>
        <v>0.26966017709537887</v>
      </c>
      <c r="Y19">
        <f t="shared" si="2"/>
        <v>9</v>
      </c>
      <c r="AA19" s="25">
        <f t="shared" si="3"/>
        <v>4.928571428571428E-2</v>
      </c>
      <c r="AB19" s="25">
        <f t="shared" si="4"/>
        <v>2.6606479697712043E-2</v>
      </c>
      <c r="AC19">
        <f t="shared" si="5"/>
        <v>7</v>
      </c>
    </row>
    <row r="20" spans="1:29">
      <c r="A20" s="2">
        <v>18</v>
      </c>
      <c r="B20" s="2">
        <v>54</v>
      </c>
      <c r="C20" s="5" t="s">
        <v>69</v>
      </c>
      <c r="D20" s="10">
        <v>0.1</v>
      </c>
      <c r="I20">
        <v>7.1999999999999995E-2</v>
      </c>
      <c r="J20" s="10">
        <v>6.0000000000000001E-3</v>
      </c>
      <c r="M20" s="27">
        <v>0.89500000000000002</v>
      </c>
      <c r="P20" s="10">
        <v>3.5999999999999997E-2</v>
      </c>
      <c r="Q20" s="30">
        <v>0.437</v>
      </c>
      <c r="R20" s="20">
        <v>5.0999999999999997E-2</v>
      </c>
      <c r="S20" s="22">
        <v>0.04</v>
      </c>
      <c r="U20" s="20">
        <v>4.2999999999999997E-2</v>
      </c>
      <c r="W20" s="25">
        <f t="shared" si="0"/>
        <v>0.18666666666666665</v>
      </c>
      <c r="X20" s="25">
        <f t="shared" si="1"/>
        <v>0.29600675667964071</v>
      </c>
      <c r="Y20">
        <f t="shared" si="2"/>
        <v>9</v>
      </c>
      <c r="AA20" s="25">
        <f t="shared" si="3"/>
        <v>4.9714285714285711E-2</v>
      </c>
      <c r="AB20" s="25">
        <f t="shared" si="4"/>
        <v>2.9623832104767083E-2</v>
      </c>
      <c r="AC20">
        <f t="shared" si="5"/>
        <v>7</v>
      </c>
    </row>
    <row r="21" spans="1:29">
      <c r="A21" s="2">
        <v>19</v>
      </c>
      <c r="B21" s="2">
        <v>57</v>
      </c>
      <c r="C21" s="5" t="s">
        <v>69</v>
      </c>
      <c r="D21" s="10">
        <v>0.126</v>
      </c>
      <c r="I21">
        <v>8.8999999999999996E-2</v>
      </c>
      <c r="J21" s="10">
        <v>0.01</v>
      </c>
      <c r="M21" s="27">
        <v>0.79200000000000004</v>
      </c>
      <c r="P21" s="10">
        <v>3.3000000000000002E-2</v>
      </c>
      <c r="Q21" s="30">
        <v>0.49199999999999999</v>
      </c>
      <c r="R21" s="20">
        <v>4.9000000000000002E-2</v>
      </c>
      <c r="S21" s="22">
        <v>3.6999999999999998E-2</v>
      </c>
      <c r="U21" s="20">
        <v>4.4999999999999998E-2</v>
      </c>
      <c r="W21" s="25">
        <f t="shared" si="0"/>
        <v>0.18588888888888888</v>
      </c>
      <c r="X21" s="25">
        <f t="shared" si="1"/>
        <v>0.27136619375137927</v>
      </c>
      <c r="Y21">
        <f t="shared" si="2"/>
        <v>9</v>
      </c>
      <c r="AA21" s="25">
        <f t="shared" si="3"/>
        <v>5.5571428571428563E-2</v>
      </c>
      <c r="AB21" s="25">
        <f t="shared" si="4"/>
        <v>3.9080502994277268E-2</v>
      </c>
      <c r="AC21">
        <f t="shared" si="5"/>
        <v>7</v>
      </c>
    </row>
    <row r="22" spans="1:29">
      <c r="A22" s="2">
        <v>20</v>
      </c>
      <c r="B22" s="2">
        <v>60</v>
      </c>
      <c r="C22" s="5" t="s">
        <v>69</v>
      </c>
      <c r="D22" s="10">
        <v>0.10199999999999999</v>
      </c>
      <c r="I22">
        <v>6.9000000000000006E-2</v>
      </c>
      <c r="J22" s="10">
        <v>3.0000000000000001E-3</v>
      </c>
      <c r="M22" s="27">
        <v>0.77200000000000002</v>
      </c>
      <c r="P22" s="10">
        <v>3.2000000000000001E-2</v>
      </c>
      <c r="Q22" s="30">
        <v>0.50800000000000001</v>
      </c>
      <c r="R22" s="20">
        <v>4.7E-2</v>
      </c>
      <c r="S22" s="22">
        <v>3.5999999999999997E-2</v>
      </c>
      <c r="U22" s="20">
        <v>0.05</v>
      </c>
      <c r="W22" s="25">
        <f t="shared" si="0"/>
        <v>0.17988888888888888</v>
      </c>
      <c r="X22" s="25">
        <f t="shared" si="1"/>
        <v>0.27041886234342294</v>
      </c>
      <c r="Y22">
        <f t="shared" si="2"/>
        <v>9</v>
      </c>
      <c r="AA22" s="25">
        <f t="shared" si="3"/>
        <v>4.8428571428571425E-2</v>
      </c>
      <c r="AB22" s="25">
        <f t="shared" si="4"/>
        <v>3.1052950170405932E-2</v>
      </c>
      <c r="AC22">
        <f t="shared" si="5"/>
        <v>7</v>
      </c>
    </row>
    <row r="23" spans="1:29">
      <c r="A23" s="3">
        <v>21</v>
      </c>
      <c r="B23" s="3">
        <v>63</v>
      </c>
      <c r="C23" s="6" t="s">
        <v>71</v>
      </c>
      <c r="D23" s="11">
        <v>0.125</v>
      </c>
      <c r="E23" s="11"/>
      <c r="F23" s="11"/>
      <c r="G23" s="11"/>
      <c r="H23" s="11"/>
      <c r="I23" s="11">
        <v>7.3999999999999996E-2</v>
      </c>
      <c r="J23" s="11">
        <v>0.01</v>
      </c>
      <c r="K23" s="11"/>
      <c r="L23" s="11"/>
      <c r="M23" s="28">
        <v>0.877</v>
      </c>
      <c r="N23" s="11"/>
      <c r="O23" s="11"/>
      <c r="P23" s="11">
        <v>3.7999999999999999E-2</v>
      </c>
      <c r="Q23" s="28">
        <v>0.59</v>
      </c>
      <c r="R23" s="11">
        <v>4.4999999999999998E-2</v>
      </c>
      <c r="S23" s="11">
        <v>0.04</v>
      </c>
      <c r="T23" s="11"/>
      <c r="U23" s="11">
        <v>5.0999999999999997E-2</v>
      </c>
      <c r="W23" s="25">
        <f t="shared" si="0"/>
        <v>0.20555555555555555</v>
      </c>
      <c r="X23" s="25">
        <f t="shared" si="1"/>
        <v>0.30939905910939319</v>
      </c>
      <c r="Y23">
        <f t="shared" si="2"/>
        <v>9</v>
      </c>
      <c r="AA23" s="25">
        <f t="shared" si="3"/>
        <v>5.4714285714285715E-2</v>
      </c>
      <c r="AB23" s="25">
        <f t="shared" si="4"/>
        <v>3.6321317366501099E-2</v>
      </c>
      <c r="AC23">
        <f t="shared" si="5"/>
        <v>7</v>
      </c>
    </row>
    <row r="24" spans="1:29">
      <c r="A24" s="3">
        <v>22</v>
      </c>
      <c r="B24" s="3">
        <v>66</v>
      </c>
      <c r="C24" s="6" t="s">
        <v>71</v>
      </c>
      <c r="D24" s="11">
        <v>0.17499999999999999</v>
      </c>
      <c r="E24" s="11"/>
      <c r="F24" s="11"/>
      <c r="G24" s="11"/>
      <c r="H24" s="11"/>
      <c r="I24" s="11">
        <v>7.1999999999999995E-2</v>
      </c>
      <c r="J24" s="11">
        <v>4.0000000000000001E-3</v>
      </c>
      <c r="K24" s="11"/>
      <c r="L24" s="11"/>
      <c r="M24" s="28">
        <v>0.83699999999999997</v>
      </c>
      <c r="N24" s="11"/>
      <c r="O24" s="11"/>
      <c r="P24" s="11">
        <v>3.9E-2</v>
      </c>
      <c r="Q24" s="28">
        <v>0.56699999999999995</v>
      </c>
      <c r="R24" s="11">
        <v>4.9000000000000002E-2</v>
      </c>
      <c r="S24" s="11">
        <v>4.2999999999999997E-2</v>
      </c>
      <c r="T24" s="11"/>
      <c r="U24" s="11">
        <v>4.4999999999999998E-2</v>
      </c>
      <c r="W24" s="25">
        <f t="shared" si="0"/>
        <v>0.20344444444444443</v>
      </c>
      <c r="X24" s="25">
        <f t="shared" si="1"/>
        <v>0.29435782268826793</v>
      </c>
      <c r="Y24">
        <f t="shared" si="2"/>
        <v>9</v>
      </c>
      <c r="AA24" s="25">
        <f t="shared" si="3"/>
        <v>6.0999999999999992E-2</v>
      </c>
      <c r="AB24" s="25">
        <f t="shared" si="4"/>
        <v>5.4120236510939237E-2</v>
      </c>
      <c r="AC24">
        <f t="shared" si="5"/>
        <v>7</v>
      </c>
    </row>
    <row r="25" spans="1:29">
      <c r="A25" s="3">
        <v>23</v>
      </c>
      <c r="B25" s="3">
        <v>69</v>
      </c>
      <c r="C25" s="6" t="s">
        <v>71</v>
      </c>
      <c r="D25" s="11">
        <v>0.16900000000000001</v>
      </c>
      <c r="E25" s="11"/>
      <c r="F25" s="11"/>
      <c r="G25" s="11"/>
      <c r="H25" s="11"/>
      <c r="I25" s="11">
        <v>0.11799999999999999</v>
      </c>
      <c r="J25" s="11">
        <v>1.0999999999999999E-2</v>
      </c>
      <c r="K25" s="11"/>
      <c r="L25" s="11"/>
      <c r="M25" s="28">
        <v>0.877</v>
      </c>
      <c r="N25" s="11"/>
      <c r="O25" s="11"/>
      <c r="P25" s="11">
        <v>3.4000000000000002E-2</v>
      </c>
      <c r="Q25" s="28">
        <v>0.78200000000000003</v>
      </c>
      <c r="R25" s="11">
        <v>3.7999999999999999E-2</v>
      </c>
      <c r="S25" s="11">
        <v>5.3999999999999999E-2</v>
      </c>
      <c r="T25" s="11"/>
      <c r="U25" s="11">
        <v>3.2000000000000001E-2</v>
      </c>
      <c r="W25" s="25">
        <f t="shared" si="0"/>
        <v>0.23499999999999999</v>
      </c>
      <c r="X25" s="25">
        <f t="shared" si="1"/>
        <v>0.3414626626733881</v>
      </c>
      <c r="Y25">
        <f t="shared" si="2"/>
        <v>9</v>
      </c>
      <c r="AA25" s="25">
        <f t="shared" si="3"/>
        <v>6.5142857142857155E-2</v>
      </c>
      <c r="AB25" s="25">
        <f t="shared" si="4"/>
        <v>5.6922252741286129E-2</v>
      </c>
      <c r="AC25">
        <f t="shared" si="5"/>
        <v>7</v>
      </c>
    </row>
    <row r="26" spans="1:29">
      <c r="A26" s="2">
        <v>24</v>
      </c>
      <c r="B26" s="2">
        <v>72</v>
      </c>
      <c r="C26" s="5" t="s">
        <v>69</v>
      </c>
      <c r="D26" s="10">
        <v>0.18</v>
      </c>
      <c r="I26">
        <v>0.16700000000000001</v>
      </c>
      <c r="J26" s="10">
        <v>2.7E-2</v>
      </c>
      <c r="M26" s="27">
        <v>0.92700000000000005</v>
      </c>
      <c r="P26" s="10">
        <v>4.9000000000000002E-2</v>
      </c>
      <c r="Q26" s="30">
        <v>0.85399999999999998</v>
      </c>
      <c r="R26" s="20">
        <v>7.3999999999999996E-2</v>
      </c>
      <c r="S26" s="22">
        <v>8.6999999999999994E-2</v>
      </c>
      <c r="U26" s="20">
        <v>4.1000000000000002E-2</v>
      </c>
      <c r="W26" s="25">
        <f t="shared" si="0"/>
        <v>0.26733333333333337</v>
      </c>
      <c r="X26" s="25">
        <f t="shared" si="1"/>
        <v>0.35769854626486813</v>
      </c>
      <c r="Y26">
        <f t="shared" si="2"/>
        <v>9</v>
      </c>
      <c r="AA26" s="25">
        <f t="shared" si="3"/>
        <v>8.9285714285714288E-2</v>
      </c>
      <c r="AB26" s="25">
        <f t="shared" si="4"/>
        <v>6.1021073643221235E-2</v>
      </c>
      <c r="AC26">
        <f t="shared" si="5"/>
        <v>7</v>
      </c>
    </row>
    <row r="27" spans="1:29">
      <c r="A27" s="2">
        <v>25</v>
      </c>
      <c r="B27" s="2">
        <v>75</v>
      </c>
      <c r="C27" s="5" t="s">
        <v>69</v>
      </c>
      <c r="D27" s="10">
        <v>0.223</v>
      </c>
      <c r="I27">
        <v>0.14199999999999999</v>
      </c>
      <c r="J27" s="10">
        <v>3.4000000000000002E-2</v>
      </c>
      <c r="M27" s="27">
        <v>0.91200000000000003</v>
      </c>
      <c r="P27" s="10">
        <v>0.08</v>
      </c>
      <c r="Q27" s="30">
        <v>0.74199999999999999</v>
      </c>
      <c r="R27" s="20">
        <v>0.108</v>
      </c>
      <c r="S27" s="22">
        <v>0.11600000000000001</v>
      </c>
      <c r="U27" s="20">
        <v>0.109</v>
      </c>
      <c r="W27" s="25">
        <f t="shared" si="0"/>
        <v>0.27400000000000002</v>
      </c>
      <c r="X27" s="25">
        <f t="shared" si="1"/>
        <v>0.32036580653996138</v>
      </c>
      <c r="Y27">
        <f t="shared" si="2"/>
        <v>9</v>
      </c>
      <c r="AA27" s="25">
        <f t="shared" si="3"/>
        <v>0.11600000000000001</v>
      </c>
      <c r="AB27" s="25">
        <f t="shared" si="4"/>
        <v>5.8106224566162705E-2</v>
      </c>
      <c r="AC27">
        <f t="shared" si="5"/>
        <v>7</v>
      </c>
    </row>
    <row r="28" spans="1:29">
      <c r="A28" s="2">
        <v>26</v>
      </c>
      <c r="B28" s="2">
        <v>78</v>
      </c>
      <c r="C28" s="5" t="s">
        <v>69</v>
      </c>
      <c r="D28" s="10">
        <v>0.2</v>
      </c>
      <c r="I28">
        <v>0.17599999999999999</v>
      </c>
      <c r="J28" s="10">
        <v>0.04</v>
      </c>
      <c r="M28" s="27">
        <v>1.1539999999999999</v>
      </c>
      <c r="P28" s="10">
        <v>0.12</v>
      </c>
      <c r="Q28" s="30">
        <v>0.76700000000000002</v>
      </c>
      <c r="R28" s="20">
        <v>0.10100000000000001</v>
      </c>
      <c r="S28" s="22">
        <v>0.11</v>
      </c>
      <c r="U28" s="20">
        <v>0.13</v>
      </c>
      <c r="W28" s="25">
        <f t="shared" si="0"/>
        <v>0.31088888888888883</v>
      </c>
      <c r="X28" s="25">
        <f t="shared" si="1"/>
        <v>0.3834571176952008</v>
      </c>
      <c r="Y28">
        <f t="shared" si="2"/>
        <v>9</v>
      </c>
      <c r="AA28" s="25">
        <f t="shared" si="3"/>
        <v>0.12528571428571428</v>
      </c>
      <c r="AB28" s="25">
        <f t="shared" si="4"/>
        <v>5.2123936554185596E-2</v>
      </c>
      <c r="AC28">
        <f t="shared" si="5"/>
        <v>7</v>
      </c>
    </row>
    <row r="29" spans="1:29">
      <c r="A29" s="2">
        <v>27</v>
      </c>
      <c r="B29" s="2">
        <v>81</v>
      </c>
      <c r="C29" s="5" t="s">
        <v>69</v>
      </c>
      <c r="D29" s="10">
        <v>0.155</v>
      </c>
      <c r="I29">
        <v>7.9000000000000001E-2</v>
      </c>
      <c r="J29" s="10">
        <v>2.5999999999999999E-2</v>
      </c>
      <c r="M29" s="27">
        <v>0.76200000000000001</v>
      </c>
      <c r="P29" s="10">
        <v>7.2999999999999995E-2</v>
      </c>
      <c r="Q29" s="30">
        <v>0.53400000000000003</v>
      </c>
      <c r="R29" s="20">
        <v>7.0999999999999994E-2</v>
      </c>
      <c r="S29" s="22">
        <v>6.4000000000000001E-2</v>
      </c>
      <c r="U29" s="20">
        <v>8.7999999999999995E-2</v>
      </c>
      <c r="W29" s="25">
        <f t="shared" si="0"/>
        <v>0.20577777777777778</v>
      </c>
      <c r="X29" s="25">
        <f t="shared" si="1"/>
        <v>0.25929027063205518</v>
      </c>
      <c r="Y29">
        <f t="shared" si="2"/>
        <v>9</v>
      </c>
      <c r="AA29" s="25">
        <f t="shared" si="3"/>
        <v>7.9428571428571432E-2</v>
      </c>
      <c r="AB29" s="25">
        <f t="shared" si="4"/>
        <v>3.8707695801813269E-2</v>
      </c>
      <c r="AC29">
        <f t="shared" si="5"/>
        <v>7</v>
      </c>
    </row>
    <row r="30" spans="1:29">
      <c r="A30" s="2">
        <v>28</v>
      </c>
      <c r="B30" s="2">
        <v>84</v>
      </c>
      <c r="C30" s="5" t="s">
        <v>69</v>
      </c>
      <c r="D30" s="10">
        <v>0.109</v>
      </c>
      <c r="I30">
        <v>8.2000000000000003E-2</v>
      </c>
      <c r="J30" s="10">
        <v>1.2E-2</v>
      </c>
      <c r="M30" s="27">
        <v>0.82</v>
      </c>
      <c r="P30" s="10">
        <v>5.5E-2</v>
      </c>
      <c r="Q30" s="30">
        <v>0.53700000000000003</v>
      </c>
      <c r="R30" s="20">
        <v>6.0999999999999999E-2</v>
      </c>
      <c r="S30" s="22">
        <v>5.0999999999999997E-2</v>
      </c>
      <c r="U30" s="20">
        <v>6.8000000000000005E-2</v>
      </c>
      <c r="W30" s="25">
        <f t="shared" si="0"/>
        <v>0.19944444444444442</v>
      </c>
      <c r="X30" s="25">
        <f t="shared" si="1"/>
        <v>0.2818435342131832</v>
      </c>
      <c r="Y30">
        <f t="shared" si="2"/>
        <v>9</v>
      </c>
      <c r="AA30" s="25">
        <f t="shared" si="3"/>
        <v>6.257142857142857E-2</v>
      </c>
      <c r="AB30" s="25">
        <f t="shared" si="4"/>
        <v>2.9759352271496901E-2</v>
      </c>
      <c r="AC30">
        <f t="shared" si="5"/>
        <v>7</v>
      </c>
    </row>
    <row r="31" spans="1:29">
      <c r="A31" s="2">
        <v>29</v>
      </c>
      <c r="B31" s="2">
        <v>87</v>
      </c>
      <c r="C31" s="5" t="s">
        <v>69</v>
      </c>
      <c r="D31" s="10">
        <v>0.13200000000000001</v>
      </c>
      <c r="I31">
        <v>8.2000000000000003E-2</v>
      </c>
      <c r="J31" s="10">
        <v>1.4E-2</v>
      </c>
      <c r="M31" s="27">
        <v>0.77</v>
      </c>
      <c r="P31" s="10">
        <v>4.4999999999999998E-2</v>
      </c>
      <c r="Q31" s="30">
        <v>0.52700000000000002</v>
      </c>
      <c r="R31" s="20">
        <v>4.8000000000000001E-2</v>
      </c>
      <c r="S31" s="22">
        <v>4.3999999999999997E-2</v>
      </c>
      <c r="U31" s="20">
        <v>7.4999999999999997E-2</v>
      </c>
      <c r="W31" s="25">
        <f t="shared" si="0"/>
        <v>0.19299999999999998</v>
      </c>
      <c r="X31" s="25">
        <f t="shared" si="1"/>
        <v>0.26730647205034153</v>
      </c>
      <c r="Y31">
        <f t="shared" si="2"/>
        <v>9</v>
      </c>
      <c r="AA31" s="25">
        <f t="shared" si="3"/>
        <v>6.2857142857142861E-2</v>
      </c>
      <c r="AB31" s="25">
        <f t="shared" si="4"/>
        <v>3.7808414281429351E-2</v>
      </c>
      <c r="AC31">
        <f t="shared" si="5"/>
        <v>7</v>
      </c>
    </row>
    <row r="32" spans="1:29">
      <c r="A32" s="2">
        <v>30</v>
      </c>
      <c r="B32" s="2">
        <v>90</v>
      </c>
      <c r="C32" s="5" t="s">
        <v>69</v>
      </c>
      <c r="D32" s="10">
        <v>0.106</v>
      </c>
      <c r="I32">
        <v>7.3999999999999996E-2</v>
      </c>
      <c r="J32" s="10">
        <v>6.0000000000000001E-3</v>
      </c>
      <c r="M32" s="27">
        <v>0.84399999999999997</v>
      </c>
      <c r="P32" s="10">
        <v>4.2999999999999997E-2</v>
      </c>
      <c r="Q32" s="30">
        <v>0.59499999999999997</v>
      </c>
      <c r="R32" s="20">
        <v>4.9000000000000002E-2</v>
      </c>
      <c r="S32" s="22">
        <v>4.4999999999999998E-2</v>
      </c>
      <c r="U32" s="20">
        <v>6.8000000000000005E-2</v>
      </c>
      <c r="W32" s="25">
        <f t="shared" si="0"/>
        <v>0.20333333333333331</v>
      </c>
      <c r="X32" s="25">
        <f t="shared" si="1"/>
        <v>0.30039723700460363</v>
      </c>
      <c r="Y32">
        <f t="shared" si="2"/>
        <v>9</v>
      </c>
      <c r="AA32" s="25">
        <f t="shared" si="3"/>
        <v>5.5857142857142848E-2</v>
      </c>
      <c r="AB32" s="25">
        <f t="shared" si="4"/>
        <v>3.1109637153292614E-2</v>
      </c>
      <c r="AC32">
        <f t="shared" si="5"/>
        <v>7</v>
      </c>
    </row>
    <row r="33" spans="1:29">
      <c r="A33" s="3">
        <v>31</v>
      </c>
      <c r="B33" s="3">
        <v>93</v>
      </c>
      <c r="C33" s="6" t="s">
        <v>72</v>
      </c>
      <c r="D33" s="11">
        <v>0.13400000000000001</v>
      </c>
      <c r="E33" s="11"/>
      <c r="F33" s="11"/>
      <c r="G33" s="11"/>
      <c r="H33" s="11"/>
      <c r="I33" s="11">
        <v>6.9000000000000006E-2</v>
      </c>
      <c r="J33" s="11">
        <v>1.2E-2</v>
      </c>
      <c r="K33" s="11"/>
      <c r="L33" s="11"/>
      <c r="M33" s="28">
        <v>0.751</v>
      </c>
      <c r="N33" s="11"/>
      <c r="O33" s="11"/>
      <c r="P33" s="11">
        <v>4.8000000000000001E-2</v>
      </c>
      <c r="Q33" s="28">
        <v>0.59699999999999998</v>
      </c>
      <c r="R33" s="11">
        <v>5.0999999999999997E-2</v>
      </c>
      <c r="S33" s="11">
        <v>4.2000000000000003E-2</v>
      </c>
      <c r="T33" s="11"/>
      <c r="U33" s="11">
        <v>3.4000000000000002E-2</v>
      </c>
      <c r="W33" s="25">
        <f t="shared" si="0"/>
        <v>0.19311111111111112</v>
      </c>
      <c r="X33" s="25">
        <f t="shared" si="1"/>
        <v>0.27736908824004003</v>
      </c>
      <c r="Y33">
        <f t="shared" si="2"/>
        <v>9</v>
      </c>
      <c r="AA33" s="25">
        <f t="shared" si="3"/>
        <v>5.5714285714285716E-2</v>
      </c>
      <c r="AB33" s="25">
        <f t="shared" si="4"/>
        <v>3.8638125755589676E-2</v>
      </c>
      <c r="AC33">
        <f t="shared" si="5"/>
        <v>7</v>
      </c>
    </row>
    <row r="34" spans="1:29">
      <c r="A34" s="3">
        <v>32</v>
      </c>
      <c r="B34" s="3">
        <v>96</v>
      </c>
      <c r="C34" s="6" t="s">
        <v>72</v>
      </c>
      <c r="D34" s="11">
        <v>0.16800000000000001</v>
      </c>
      <c r="E34" s="11"/>
      <c r="F34" s="11"/>
      <c r="G34" s="11"/>
      <c r="H34" s="11"/>
      <c r="I34" s="11">
        <v>0.13500000000000001</v>
      </c>
      <c r="J34" s="11">
        <v>1.0999999999999999E-2</v>
      </c>
      <c r="K34" s="11"/>
      <c r="L34" s="11"/>
      <c r="M34" s="28">
        <v>0.84899999999999998</v>
      </c>
      <c r="N34" s="11"/>
      <c r="O34" s="11"/>
      <c r="P34" s="11">
        <v>5.5E-2</v>
      </c>
      <c r="Q34" s="28">
        <v>0.66400000000000003</v>
      </c>
      <c r="R34" s="11">
        <v>5.3999999999999999E-2</v>
      </c>
      <c r="S34" s="11">
        <v>7.1999999999999995E-2</v>
      </c>
      <c r="T34" s="11"/>
      <c r="U34" s="11">
        <v>6.7000000000000004E-2</v>
      </c>
      <c r="W34" s="25">
        <f t="shared" si="0"/>
        <v>0.23055555555555557</v>
      </c>
      <c r="X34" s="25">
        <f t="shared" si="1"/>
        <v>0.30526181840803107</v>
      </c>
      <c r="Y34">
        <f t="shared" si="2"/>
        <v>9</v>
      </c>
      <c r="AA34" s="25">
        <f t="shared" si="3"/>
        <v>8.0285714285714294E-2</v>
      </c>
      <c r="AB34" s="25">
        <f t="shared" si="4"/>
        <v>5.332827356951246E-2</v>
      </c>
      <c r="AC34">
        <f t="shared" si="5"/>
        <v>7</v>
      </c>
    </row>
    <row r="35" spans="1:29">
      <c r="A35" s="3">
        <v>33</v>
      </c>
      <c r="B35" s="3">
        <v>99</v>
      </c>
      <c r="C35" s="6" t="s">
        <v>72</v>
      </c>
      <c r="D35" s="11">
        <v>0.28100000000000003</v>
      </c>
      <c r="E35" s="11"/>
      <c r="F35" s="11"/>
      <c r="G35" s="11"/>
      <c r="H35" s="11"/>
      <c r="I35" s="11">
        <v>0.33300000000000002</v>
      </c>
      <c r="J35" s="11">
        <v>3.3000000000000002E-2</v>
      </c>
      <c r="K35" s="11"/>
      <c r="L35" s="11"/>
      <c r="M35" s="28">
        <v>0.998</v>
      </c>
      <c r="N35" s="11"/>
      <c r="O35" s="11"/>
      <c r="P35" s="11">
        <v>8.5000000000000006E-2</v>
      </c>
      <c r="Q35" s="28">
        <v>0.86799999999999999</v>
      </c>
      <c r="R35" s="11">
        <v>0.10100000000000001</v>
      </c>
      <c r="S35" s="11">
        <v>0.14599999999999999</v>
      </c>
      <c r="T35" s="11"/>
      <c r="U35" s="11">
        <v>0.13200000000000001</v>
      </c>
      <c r="W35" s="25">
        <f t="shared" si="0"/>
        <v>0.33077777777777778</v>
      </c>
      <c r="X35" s="25">
        <f t="shared" si="1"/>
        <v>0.35563456587407877</v>
      </c>
      <c r="Y35">
        <f t="shared" si="2"/>
        <v>9</v>
      </c>
      <c r="AA35" s="25">
        <f t="shared" si="3"/>
        <v>0.15871428571428575</v>
      </c>
      <c r="AB35" s="25">
        <f t="shared" si="4"/>
        <v>0.10860741884683302</v>
      </c>
      <c r="AC35">
        <f t="shared" si="5"/>
        <v>7</v>
      </c>
    </row>
    <row r="36" spans="1:29">
      <c r="A36" s="2">
        <v>34</v>
      </c>
      <c r="B36" s="2">
        <v>102</v>
      </c>
      <c r="C36" s="5" t="s">
        <v>69</v>
      </c>
      <c r="D36" s="10">
        <v>0.27500000000000002</v>
      </c>
      <c r="I36">
        <v>0.35899999999999999</v>
      </c>
      <c r="J36" s="10">
        <v>5.5E-2</v>
      </c>
      <c r="M36" s="27">
        <v>1.0629999999999999</v>
      </c>
      <c r="P36" s="10">
        <v>0.14399999999999999</v>
      </c>
      <c r="Q36" s="30">
        <v>0.873</v>
      </c>
      <c r="R36" s="20">
        <v>0.128</v>
      </c>
      <c r="S36" s="22">
        <v>0.183</v>
      </c>
      <c r="U36" s="20">
        <v>0.217</v>
      </c>
      <c r="W36" s="25">
        <f t="shared" si="0"/>
        <v>0.36633333333333334</v>
      </c>
      <c r="X36" s="25">
        <f t="shared" si="1"/>
        <v>0.35523337399518079</v>
      </c>
      <c r="Y36">
        <f t="shared" si="2"/>
        <v>9</v>
      </c>
      <c r="AA36" s="25">
        <f t="shared" si="3"/>
        <v>0.19442857142857145</v>
      </c>
      <c r="AB36" s="25">
        <f t="shared" si="4"/>
        <v>0.10050846920012452</v>
      </c>
      <c r="AC36">
        <f t="shared" si="5"/>
        <v>7</v>
      </c>
    </row>
    <row r="37" spans="1:29">
      <c r="A37" s="2">
        <v>35</v>
      </c>
      <c r="B37" s="2">
        <v>105</v>
      </c>
      <c r="C37" s="5" t="s">
        <v>69</v>
      </c>
      <c r="D37" s="10">
        <v>0.38700000000000001</v>
      </c>
      <c r="I37">
        <v>0.28399999999999997</v>
      </c>
      <c r="J37" s="10">
        <v>5.1999999999999998E-2</v>
      </c>
      <c r="M37" s="27">
        <v>0.82</v>
      </c>
      <c r="P37" s="10">
        <v>0.154</v>
      </c>
      <c r="Q37" s="30">
        <v>0.71599999999999997</v>
      </c>
      <c r="R37" s="20">
        <v>0.17299999999999999</v>
      </c>
      <c r="S37" s="22">
        <v>0.17299999999999999</v>
      </c>
      <c r="U37" s="20">
        <v>0.20799999999999999</v>
      </c>
      <c r="W37" s="25">
        <f t="shared" si="0"/>
        <v>0.32966666666666672</v>
      </c>
      <c r="X37" s="25">
        <f t="shared" si="1"/>
        <v>0.26620058226833382</v>
      </c>
      <c r="Y37">
        <f t="shared" si="2"/>
        <v>9</v>
      </c>
      <c r="AA37" s="25">
        <f t="shared" si="3"/>
        <v>0.20442857142857143</v>
      </c>
      <c r="AB37" s="25">
        <f t="shared" si="4"/>
        <v>0.10601078112289193</v>
      </c>
      <c r="AC37">
        <f t="shared" si="5"/>
        <v>7</v>
      </c>
    </row>
    <row r="38" spans="1:29">
      <c r="A38" s="2">
        <v>36</v>
      </c>
      <c r="B38" s="2">
        <v>108</v>
      </c>
      <c r="C38" s="5" t="s">
        <v>69</v>
      </c>
      <c r="D38" s="10">
        <v>0.28999999999999998</v>
      </c>
      <c r="I38">
        <v>0.19400000000000001</v>
      </c>
      <c r="J38" s="10">
        <v>2.8000000000000001E-2</v>
      </c>
      <c r="M38" s="27">
        <v>0.70299999999999996</v>
      </c>
      <c r="P38" s="10">
        <v>0.105</v>
      </c>
      <c r="Q38" s="30">
        <v>0.60899999999999999</v>
      </c>
      <c r="R38" s="20">
        <v>9.2999999999999999E-2</v>
      </c>
      <c r="S38" s="22">
        <v>9.9000000000000005E-2</v>
      </c>
      <c r="U38" s="20">
        <v>0.17599999999999999</v>
      </c>
      <c r="W38" s="25">
        <f t="shared" si="0"/>
        <v>0.25522222222222224</v>
      </c>
      <c r="X38" s="25">
        <f t="shared" si="1"/>
        <v>0.2402643220381345</v>
      </c>
      <c r="Y38">
        <f t="shared" si="2"/>
        <v>9</v>
      </c>
      <c r="AA38" s="25">
        <f t="shared" si="3"/>
        <v>0.14071428571428571</v>
      </c>
      <c r="AB38" s="25">
        <f t="shared" si="4"/>
        <v>8.5991693951052217E-2</v>
      </c>
      <c r="AC38">
        <f t="shared" si="5"/>
        <v>7</v>
      </c>
    </row>
    <row r="39" spans="1:29">
      <c r="A39" s="2">
        <v>37</v>
      </c>
      <c r="B39" s="2">
        <v>111</v>
      </c>
      <c r="C39" s="5" t="s">
        <v>69</v>
      </c>
      <c r="D39" s="10">
        <v>0.14099999999999999</v>
      </c>
      <c r="I39">
        <v>7.4999999999999997E-2</v>
      </c>
      <c r="J39" s="10">
        <v>1.4999999999999999E-2</v>
      </c>
      <c r="M39" s="27">
        <v>0.65</v>
      </c>
      <c r="P39" s="10">
        <v>6.8000000000000005E-2</v>
      </c>
      <c r="Q39" s="30">
        <v>0.36499999999999999</v>
      </c>
      <c r="R39" s="20">
        <v>5.8000000000000003E-2</v>
      </c>
      <c r="S39" s="22">
        <v>6.7000000000000004E-2</v>
      </c>
      <c r="U39" s="20">
        <v>9.4E-2</v>
      </c>
      <c r="W39" s="25">
        <f t="shared" si="0"/>
        <v>0.17033333333333334</v>
      </c>
      <c r="X39" s="25">
        <f t="shared" si="1"/>
        <v>0.20665430070530832</v>
      </c>
      <c r="Y39">
        <f t="shared" si="2"/>
        <v>9</v>
      </c>
      <c r="AA39" s="25">
        <f t="shared" si="3"/>
        <v>7.3999999999999996E-2</v>
      </c>
      <c r="AB39" s="25">
        <f t="shared" si="4"/>
        <v>3.8105117766515283E-2</v>
      </c>
      <c r="AC39">
        <f t="shared" si="5"/>
        <v>7</v>
      </c>
    </row>
    <row r="40" spans="1:29">
      <c r="A40" s="2">
        <v>38</v>
      </c>
      <c r="B40" s="2">
        <v>114</v>
      </c>
      <c r="C40" s="5" t="s">
        <v>69</v>
      </c>
      <c r="D40" s="10">
        <v>8.6999999999999994E-2</v>
      </c>
      <c r="I40">
        <v>7.0999999999999994E-2</v>
      </c>
      <c r="J40" s="10">
        <v>6.0000000000000001E-3</v>
      </c>
      <c r="M40" s="27">
        <v>0.623</v>
      </c>
      <c r="P40" s="10">
        <v>5.2999999999999999E-2</v>
      </c>
      <c r="Q40" s="30">
        <v>0.39500000000000002</v>
      </c>
      <c r="R40" s="20">
        <v>4.7E-2</v>
      </c>
      <c r="S40" s="22">
        <v>4.7E-2</v>
      </c>
      <c r="U40" s="20">
        <v>7.3999999999999996E-2</v>
      </c>
      <c r="W40" s="25">
        <f t="shared" si="0"/>
        <v>0.15588888888888885</v>
      </c>
      <c r="X40" s="25">
        <f t="shared" si="1"/>
        <v>0.20940119653696138</v>
      </c>
      <c r="Y40">
        <f t="shared" si="2"/>
        <v>9</v>
      </c>
      <c r="AA40" s="25">
        <f t="shared" si="3"/>
        <v>5.4999999999999993E-2</v>
      </c>
      <c r="AB40" s="25">
        <f t="shared" si="4"/>
        <v>2.6375493676264464E-2</v>
      </c>
      <c r="AC40">
        <f t="shared" si="5"/>
        <v>7</v>
      </c>
    </row>
    <row r="41" spans="1:29">
      <c r="A41" s="2">
        <v>39</v>
      </c>
      <c r="B41" s="2">
        <v>117</v>
      </c>
      <c r="C41" s="5" t="s">
        <v>69</v>
      </c>
      <c r="D41" s="10">
        <v>0.11700000000000001</v>
      </c>
      <c r="I41">
        <v>6.7000000000000004E-2</v>
      </c>
      <c r="J41" s="10">
        <v>8.0000000000000002E-3</v>
      </c>
      <c r="M41" s="27">
        <v>0.623</v>
      </c>
      <c r="P41" s="10">
        <v>4.4999999999999998E-2</v>
      </c>
      <c r="Q41" s="30">
        <v>0.40100000000000002</v>
      </c>
      <c r="R41" s="20">
        <v>4.3999999999999997E-2</v>
      </c>
      <c r="S41" s="22">
        <v>3.6999999999999998E-2</v>
      </c>
      <c r="U41" s="20">
        <v>4.9000000000000002E-2</v>
      </c>
      <c r="W41" s="25">
        <f t="shared" si="0"/>
        <v>0.15455555555555556</v>
      </c>
      <c r="X41" s="25">
        <f t="shared" si="1"/>
        <v>0.21210734965525777</v>
      </c>
      <c r="Y41">
        <f t="shared" si="2"/>
        <v>9</v>
      </c>
      <c r="AA41" s="25">
        <f t="shared" si="3"/>
        <v>5.2428571428571422E-2</v>
      </c>
      <c r="AB41" s="25">
        <f t="shared" si="4"/>
        <v>3.3495557630115406E-2</v>
      </c>
      <c r="AC41">
        <f t="shared" si="5"/>
        <v>7</v>
      </c>
    </row>
    <row r="42" spans="1:29">
      <c r="A42" s="2">
        <v>40</v>
      </c>
      <c r="B42" s="2">
        <v>120</v>
      </c>
      <c r="C42" s="5" t="s">
        <v>69</v>
      </c>
      <c r="D42" s="10">
        <v>9.2999999999999999E-2</v>
      </c>
      <c r="I42">
        <v>5.5E-2</v>
      </c>
      <c r="J42" s="10">
        <v>3.0000000000000001E-3</v>
      </c>
      <c r="M42" s="27">
        <v>0.61699999999999999</v>
      </c>
      <c r="P42" s="10">
        <v>4.2000000000000003E-2</v>
      </c>
      <c r="Q42" s="30">
        <v>0.41599999999999998</v>
      </c>
      <c r="R42" s="20">
        <v>4.1000000000000002E-2</v>
      </c>
      <c r="S42" s="22">
        <v>3.4000000000000002E-2</v>
      </c>
      <c r="U42" s="20">
        <v>0.04</v>
      </c>
      <c r="W42" s="25">
        <f t="shared" si="0"/>
        <v>0.14899999999999999</v>
      </c>
      <c r="X42" s="25">
        <f t="shared" si="1"/>
        <v>0.21558640959021513</v>
      </c>
      <c r="Y42">
        <f t="shared" si="2"/>
        <v>9</v>
      </c>
      <c r="AA42" s="25">
        <f t="shared" si="3"/>
        <v>4.3999999999999997E-2</v>
      </c>
      <c r="AB42" s="25">
        <f t="shared" si="4"/>
        <v>2.6870057685088808E-2</v>
      </c>
      <c r="AC42">
        <f t="shared" si="5"/>
        <v>7</v>
      </c>
    </row>
    <row r="43" spans="1:29">
      <c r="A43" s="3">
        <v>41</v>
      </c>
      <c r="B43" s="3">
        <v>123</v>
      </c>
      <c r="C43" s="7" t="s">
        <v>73</v>
      </c>
      <c r="D43" s="11">
        <v>9.5000000000000001E-2</v>
      </c>
      <c r="E43" s="11"/>
      <c r="F43" s="11"/>
      <c r="G43" s="11"/>
      <c r="H43" s="11"/>
      <c r="I43" s="11">
        <v>5.8000000000000003E-2</v>
      </c>
      <c r="J43" s="11">
        <v>7.0000000000000001E-3</v>
      </c>
      <c r="K43" s="11"/>
      <c r="L43" s="11"/>
      <c r="M43" s="28">
        <v>0.68100000000000005</v>
      </c>
      <c r="N43" s="11"/>
      <c r="O43" s="11"/>
      <c r="P43" s="11">
        <v>4.1000000000000002E-2</v>
      </c>
      <c r="Q43" s="28">
        <v>0.47199999999999998</v>
      </c>
      <c r="R43" s="11">
        <v>3.5999999999999997E-2</v>
      </c>
      <c r="S43" s="11">
        <v>3.2000000000000001E-2</v>
      </c>
      <c r="T43" s="11"/>
      <c r="U43" s="11">
        <v>0.04</v>
      </c>
      <c r="W43" s="25">
        <f t="shared" si="0"/>
        <v>0.16244444444444447</v>
      </c>
      <c r="X43" s="25">
        <f t="shared" si="1"/>
        <v>0.24163252632412258</v>
      </c>
      <c r="Y43">
        <f t="shared" si="2"/>
        <v>9</v>
      </c>
      <c r="AA43" s="25">
        <f t="shared" si="3"/>
        <v>4.4142857142857143E-2</v>
      </c>
      <c r="AB43" s="25">
        <f t="shared" si="4"/>
        <v>2.7076610887311173E-2</v>
      </c>
      <c r="AC43">
        <f t="shared" si="5"/>
        <v>7</v>
      </c>
    </row>
    <row r="44" spans="1:29">
      <c r="A44" s="3">
        <v>42</v>
      </c>
      <c r="B44" s="3">
        <v>126</v>
      </c>
      <c r="C44" s="7" t="s">
        <v>73</v>
      </c>
      <c r="D44" s="11">
        <v>0.115</v>
      </c>
      <c r="E44" s="11"/>
      <c r="F44" s="11"/>
      <c r="G44" s="11"/>
      <c r="H44" s="11"/>
      <c r="I44" s="11">
        <v>0.129</v>
      </c>
      <c r="J44" s="11">
        <v>8.0000000000000002E-3</v>
      </c>
      <c r="K44" s="11"/>
      <c r="L44" s="11"/>
      <c r="M44" s="28">
        <v>0.69199999999999995</v>
      </c>
      <c r="N44" s="11"/>
      <c r="O44" s="11"/>
      <c r="P44" s="11">
        <v>7.5999999999999998E-2</v>
      </c>
      <c r="Q44" s="28">
        <v>0.51900000000000002</v>
      </c>
      <c r="R44" s="11">
        <v>5.6000000000000001E-2</v>
      </c>
      <c r="S44" s="11">
        <v>7.5999999999999998E-2</v>
      </c>
      <c r="T44" s="11"/>
      <c r="U44" s="11">
        <v>8.6999999999999994E-2</v>
      </c>
      <c r="W44" s="25">
        <f t="shared" si="0"/>
        <v>0.19533333333333336</v>
      </c>
      <c r="X44" s="25">
        <f t="shared" si="1"/>
        <v>0.23901255197164853</v>
      </c>
      <c r="Y44">
        <f t="shared" si="2"/>
        <v>9</v>
      </c>
      <c r="AA44" s="25">
        <f t="shared" si="3"/>
        <v>7.8142857142857153E-2</v>
      </c>
      <c r="AB44" s="25">
        <f t="shared" si="4"/>
        <v>3.9671268240497728E-2</v>
      </c>
      <c r="AC44">
        <f t="shared" si="5"/>
        <v>7</v>
      </c>
    </row>
    <row r="45" spans="1:29">
      <c r="A45" s="3">
        <v>43</v>
      </c>
      <c r="B45" s="3">
        <v>129</v>
      </c>
      <c r="C45" s="7" t="s">
        <v>73</v>
      </c>
      <c r="D45" s="11">
        <v>0.27200000000000002</v>
      </c>
      <c r="E45" s="11"/>
      <c r="F45" s="11"/>
      <c r="G45" s="11"/>
      <c r="H45" s="11"/>
      <c r="I45" s="11">
        <v>0.17899999999999999</v>
      </c>
      <c r="J45" s="11">
        <v>2.5999999999999999E-2</v>
      </c>
      <c r="K45" s="11"/>
      <c r="L45" s="11"/>
      <c r="M45" s="28">
        <v>1.1859999999999999</v>
      </c>
      <c r="N45" s="11"/>
      <c r="O45" s="11"/>
      <c r="P45" s="11">
        <v>0.123</v>
      </c>
      <c r="Q45" s="28">
        <v>0.624</v>
      </c>
      <c r="R45" s="11">
        <v>0.159</v>
      </c>
      <c r="S45" s="11">
        <v>0.08</v>
      </c>
      <c r="T45" s="11"/>
      <c r="U45" s="11">
        <v>0.11600000000000001</v>
      </c>
      <c r="W45" s="25">
        <f t="shared" si="0"/>
        <v>0.30722222222222223</v>
      </c>
      <c r="X45" s="25">
        <f t="shared" si="1"/>
        <v>0.3730733097454767</v>
      </c>
      <c r="Y45">
        <f t="shared" si="2"/>
        <v>9</v>
      </c>
      <c r="AA45" s="25">
        <f t="shared" si="3"/>
        <v>0.13642857142857143</v>
      </c>
      <c r="AB45" s="25">
        <f t="shared" si="4"/>
        <v>7.8185371911581911E-2</v>
      </c>
      <c r="AC45">
        <f t="shared" si="5"/>
        <v>7</v>
      </c>
    </row>
    <row r="46" spans="1:29">
      <c r="A46" s="2">
        <v>44</v>
      </c>
      <c r="B46" s="2">
        <v>132</v>
      </c>
      <c r="C46" s="5" t="s">
        <v>69</v>
      </c>
      <c r="D46" s="10">
        <v>0.13600000000000001</v>
      </c>
      <c r="I46">
        <v>0.122</v>
      </c>
      <c r="J46" s="10">
        <v>1.7000000000000001E-2</v>
      </c>
      <c r="M46" s="27">
        <v>0.79900000000000004</v>
      </c>
      <c r="P46" s="10">
        <v>4.8000000000000001E-2</v>
      </c>
      <c r="Q46" s="30">
        <v>0.47399999999999998</v>
      </c>
      <c r="R46" s="20">
        <v>7.4999999999999997E-2</v>
      </c>
      <c r="S46" s="22">
        <v>6.7000000000000004E-2</v>
      </c>
      <c r="U46" s="20">
        <v>5.1999999999999998E-2</v>
      </c>
      <c r="W46" s="25">
        <f t="shared" si="0"/>
        <v>0.19888888888888889</v>
      </c>
      <c r="X46" s="25">
        <f t="shared" si="1"/>
        <v>0.26359459613412239</v>
      </c>
      <c r="Y46">
        <f t="shared" si="2"/>
        <v>9</v>
      </c>
      <c r="AA46" s="25">
        <f t="shared" si="3"/>
        <v>7.3857142857142857E-2</v>
      </c>
      <c r="AB46" s="25">
        <f t="shared" si="4"/>
        <v>4.2045327015133596E-2</v>
      </c>
      <c r="AC46">
        <f t="shared" si="5"/>
        <v>7</v>
      </c>
    </row>
    <row r="47" spans="1:29">
      <c r="A47" s="2">
        <v>45</v>
      </c>
      <c r="B47" s="2">
        <v>135</v>
      </c>
      <c r="C47" s="5" t="s">
        <v>69</v>
      </c>
      <c r="D47" s="10">
        <v>0.16200000000000001</v>
      </c>
      <c r="I47">
        <v>8.5000000000000006E-2</v>
      </c>
      <c r="J47" s="10">
        <v>0.01</v>
      </c>
      <c r="M47" s="27">
        <v>0.86399999999999999</v>
      </c>
      <c r="P47" s="10">
        <v>3.7999999999999999E-2</v>
      </c>
      <c r="Q47" s="30">
        <v>0.30599999999999999</v>
      </c>
      <c r="R47" s="20">
        <v>5.2999999999999999E-2</v>
      </c>
      <c r="S47" s="22">
        <v>4.7E-2</v>
      </c>
      <c r="U47" s="20">
        <v>3.9E-2</v>
      </c>
      <c r="W47" s="25">
        <f t="shared" si="0"/>
        <v>0.1782222222222222</v>
      </c>
      <c r="X47" s="25">
        <f t="shared" si="1"/>
        <v>0.27290464350106691</v>
      </c>
      <c r="Y47">
        <f t="shared" si="2"/>
        <v>9</v>
      </c>
      <c r="AA47" s="25">
        <f t="shared" si="3"/>
        <v>6.1999999999999993E-2</v>
      </c>
      <c r="AB47" s="25">
        <f t="shared" si="4"/>
        <v>4.940310381612343E-2</v>
      </c>
      <c r="AC47">
        <f t="shared" si="5"/>
        <v>7</v>
      </c>
    </row>
    <row r="48" spans="1:29">
      <c r="A48" s="2">
        <v>46</v>
      </c>
      <c r="B48" s="2">
        <v>138</v>
      </c>
      <c r="C48" s="5" t="s">
        <v>69</v>
      </c>
      <c r="D48" s="10">
        <v>0.11899999999999999</v>
      </c>
      <c r="I48">
        <v>0.12</v>
      </c>
      <c r="J48" s="10">
        <v>1.2E-2</v>
      </c>
      <c r="M48" s="27">
        <v>0.85399999999999998</v>
      </c>
      <c r="P48" s="10">
        <v>3.5000000000000003E-2</v>
      </c>
      <c r="Q48" s="30">
        <v>0.35199999999999998</v>
      </c>
      <c r="R48" s="20">
        <v>4.2999999999999997E-2</v>
      </c>
      <c r="S48" s="22">
        <v>3.3000000000000002E-2</v>
      </c>
      <c r="U48" s="20">
        <v>0.04</v>
      </c>
      <c r="W48" s="25">
        <f t="shared" si="0"/>
        <v>0.17866666666666664</v>
      </c>
      <c r="X48" s="25">
        <f t="shared" si="1"/>
        <v>0.27395072549639288</v>
      </c>
      <c r="Y48">
        <f t="shared" si="2"/>
        <v>9</v>
      </c>
      <c r="AA48" s="25">
        <f t="shared" si="3"/>
        <v>5.7428571428571426E-2</v>
      </c>
      <c r="AB48" s="25">
        <f t="shared" si="4"/>
        <v>4.3554016817652773E-2</v>
      </c>
      <c r="AC48">
        <f t="shared" si="5"/>
        <v>7</v>
      </c>
    </row>
    <row r="49" spans="1:29">
      <c r="A49" s="2">
        <v>47</v>
      </c>
      <c r="B49" s="2">
        <v>141</v>
      </c>
      <c r="C49" s="5" t="s">
        <v>69</v>
      </c>
      <c r="D49" s="10">
        <v>9.5000000000000001E-2</v>
      </c>
      <c r="I49">
        <v>7.4999999999999997E-2</v>
      </c>
      <c r="J49" s="10">
        <v>0.01</v>
      </c>
      <c r="M49" s="27">
        <v>0.66900000000000004</v>
      </c>
      <c r="P49" s="10">
        <v>4.3999999999999997E-2</v>
      </c>
      <c r="Q49" s="30">
        <v>0.312</v>
      </c>
      <c r="R49" s="20">
        <v>4.1000000000000002E-2</v>
      </c>
      <c r="S49" s="22">
        <v>3.5000000000000003E-2</v>
      </c>
      <c r="U49" s="20">
        <v>4.4999999999999998E-2</v>
      </c>
      <c r="W49" s="25">
        <f t="shared" si="0"/>
        <v>0.14733333333333332</v>
      </c>
      <c r="X49" s="25">
        <f t="shared" si="1"/>
        <v>0.21539440568408463</v>
      </c>
      <c r="Y49">
        <f t="shared" si="2"/>
        <v>9</v>
      </c>
      <c r="AA49" s="25">
        <f t="shared" si="3"/>
        <v>4.9285714285714273E-2</v>
      </c>
      <c r="AB49" s="25">
        <f t="shared" si="4"/>
        <v>2.7729132007777733E-2</v>
      </c>
      <c r="AC49">
        <f t="shared" si="5"/>
        <v>7</v>
      </c>
    </row>
    <row r="50" spans="1:29">
      <c r="A50" s="2">
        <v>48</v>
      </c>
      <c r="B50" s="2">
        <v>144</v>
      </c>
      <c r="C50" s="5" t="s">
        <v>69</v>
      </c>
      <c r="D50" s="10">
        <v>7.2999999999999995E-2</v>
      </c>
      <c r="I50">
        <v>8.5000000000000006E-2</v>
      </c>
      <c r="J50" s="10">
        <v>7.0000000000000001E-3</v>
      </c>
      <c r="M50" s="27">
        <v>0.623</v>
      </c>
      <c r="P50" s="10">
        <v>0.05</v>
      </c>
      <c r="Q50" s="30">
        <v>0.35899999999999999</v>
      </c>
      <c r="R50" s="20">
        <v>4.3999999999999997E-2</v>
      </c>
      <c r="S50" s="22">
        <v>3.4000000000000002E-2</v>
      </c>
      <c r="U50" s="20">
        <v>4.8000000000000001E-2</v>
      </c>
      <c r="W50" s="25">
        <f t="shared" si="0"/>
        <v>0.14700000000000002</v>
      </c>
      <c r="X50" s="25">
        <f t="shared" si="1"/>
        <v>0.20707124377856043</v>
      </c>
      <c r="Y50">
        <f t="shared" si="2"/>
        <v>9</v>
      </c>
      <c r="AA50" s="25">
        <f t="shared" si="3"/>
        <v>4.8714285714285717E-2</v>
      </c>
      <c r="AB50" s="25">
        <f t="shared" si="4"/>
        <v>2.5453973401116811E-2</v>
      </c>
      <c r="AC50">
        <f t="shared" si="5"/>
        <v>7</v>
      </c>
    </row>
    <row r="51" spans="1:29">
      <c r="A51" s="2">
        <v>49</v>
      </c>
      <c r="B51" s="2">
        <v>147</v>
      </c>
      <c r="C51" s="5" t="s">
        <v>69</v>
      </c>
      <c r="D51" s="10">
        <v>0.105</v>
      </c>
      <c r="I51">
        <v>0.08</v>
      </c>
      <c r="J51" s="10">
        <v>8.9999999999999993E-3</v>
      </c>
      <c r="M51" s="27">
        <v>0.58499999999999996</v>
      </c>
      <c r="P51" s="10">
        <v>5.1999999999999998E-2</v>
      </c>
      <c r="Q51" s="30">
        <v>0.41599999999999998</v>
      </c>
      <c r="R51" s="20">
        <v>4.2999999999999997E-2</v>
      </c>
      <c r="S51" s="22">
        <v>3.6999999999999998E-2</v>
      </c>
      <c r="U51" s="20">
        <v>5.2999999999999999E-2</v>
      </c>
      <c r="W51" s="25">
        <f t="shared" si="0"/>
        <v>0.15333333333333329</v>
      </c>
      <c r="X51" s="25">
        <f t="shared" si="1"/>
        <v>0.20307572479250194</v>
      </c>
      <c r="Y51">
        <f t="shared" si="2"/>
        <v>9</v>
      </c>
      <c r="AA51" s="25">
        <f t="shared" si="3"/>
        <v>5.4142857142857138E-2</v>
      </c>
      <c r="AB51" s="25">
        <f t="shared" si="4"/>
        <v>3.0867612862181686E-2</v>
      </c>
      <c r="AC51">
        <f t="shared" si="5"/>
        <v>7</v>
      </c>
    </row>
    <row r="52" spans="1:29" ht="17.100000000000001" thickBot="1">
      <c r="A52" s="4">
        <v>50</v>
      </c>
      <c r="B52" s="4">
        <v>150</v>
      </c>
      <c r="C52" s="8" t="s">
        <v>69</v>
      </c>
      <c r="D52" s="13">
        <v>0.10299999999999999</v>
      </c>
      <c r="E52" s="13"/>
      <c r="F52" s="13"/>
      <c r="G52" s="13"/>
      <c r="H52" s="13"/>
      <c r="I52" s="13">
        <v>6.8000000000000005E-2</v>
      </c>
      <c r="J52" s="13">
        <v>5.0000000000000001E-3</v>
      </c>
      <c r="K52" s="13"/>
      <c r="L52" s="13"/>
      <c r="M52" s="29">
        <v>0.56200000000000006</v>
      </c>
      <c r="N52" s="13"/>
      <c r="O52" s="13"/>
      <c r="P52" s="13">
        <v>5.1999999999999998E-2</v>
      </c>
      <c r="Q52" s="29">
        <v>0.41299999999999998</v>
      </c>
      <c r="R52" s="13">
        <v>4.3999999999999997E-2</v>
      </c>
      <c r="S52" s="13">
        <v>3.7999999999999999E-2</v>
      </c>
      <c r="T52" s="13"/>
      <c r="U52" s="13">
        <v>5.2999999999999999E-2</v>
      </c>
      <c r="W52" s="25">
        <f t="shared" si="0"/>
        <v>0.14866666666666667</v>
      </c>
      <c r="X52" s="25">
        <f t="shared" si="1"/>
        <v>0.19737274381231062</v>
      </c>
      <c r="Y52">
        <f t="shared" si="2"/>
        <v>9</v>
      </c>
      <c r="AA52" s="25">
        <f t="shared" si="3"/>
        <v>5.1857142857142845E-2</v>
      </c>
      <c r="AB52" s="25">
        <f t="shared" si="4"/>
        <v>2.9796132698884349E-2</v>
      </c>
      <c r="AC52">
        <f t="shared" si="5"/>
        <v>7</v>
      </c>
    </row>
    <row r="53" spans="1:29">
      <c r="A53" s="2"/>
      <c r="B53" s="2"/>
      <c r="C53" s="5"/>
      <c r="D53" s="10"/>
      <c r="J53" s="10"/>
      <c r="M53" s="10"/>
      <c r="P53" s="10"/>
    </row>
    <row r="54" spans="1:29">
      <c r="A54" t="s">
        <v>74</v>
      </c>
    </row>
    <row r="55" spans="1:29">
      <c r="A55" s="9" t="s">
        <v>12</v>
      </c>
      <c r="B55" s="9" t="s">
        <v>14</v>
      </c>
    </row>
    <row r="56" spans="1:29">
      <c r="A56" s="2">
        <v>1</v>
      </c>
      <c r="B56" t="s">
        <v>21</v>
      </c>
    </row>
    <row r="57" spans="1:29">
      <c r="A57" s="2">
        <v>2</v>
      </c>
      <c r="B57" s="17" t="s">
        <v>24</v>
      </c>
      <c r="E57" t="s">
        <v>75</v>
      </c>
    </row>
    <row r="58" spans="1:29">
      <c r="A58" s="2">
        <v>3</v>
      </c>
      <c r="B58" s="17" t="s">
        <v>28</v>
      </c>
      <c r="E58" t="s">
        <v>75</v>
      </c>
    </row>
    <row r="59" spans="1:29">
      <c r="A59" s="2">
        <v>4</v>
      </c>
      <c r="B59" s="17" t="s">
        <v>30</v>
      </c>
      <c r="E59" t="s">
        <v>75</v>
      </c>
    </row>
    <row r="60" spans="1:29">
      <c r="A60" s="2">
        <v>5</v>
      </c>
      <c r="B60" s="17" t="s">
        <v>32</v>
      </c>
      <c r="E60" t="s">
        <v>75</v>
      </c>
    </row>
    <row r="61" spans="1:29">
      <c r="A61" s="2">
        <v>6</v>
      </c>
      <c r="B61" t="s">
        <v>34</v>
      </c>
    </row>
    <row r="62" spans="1:29">
      <c r="A62" s="2">
        <v>7</v>
      </c>
      <c r="B62" s="16" t="s">
        <v>36</v>
      </c>
      <c r="E62" t="s">
        <v>76</v>
      </c>
    </row>
    <row r="63" spans="1:29">
      <c r="A63" s="2">
        <v>8</v>
      </c>
      <c r="B63" s="17" t="s">
        <v>38</v>
      </c>
      <c r="E63" t="s">
        <v>75</v>
      </c>
    </row>
    <row r="64" spans="1:29">
      <c r="A64" s="2">
        <v>9</v>
      </c>
      <c r="B64" s="17" t="s">
        <v>39</v>
      </c>
      <c r="E64" t="s">
        <v>75</v>
      </c>
    </row>
    <row r="65" spans="1:5">
      <c r="A65" s="2">
        <v>10</v>
      </c>
      <c r="B65" s="31" t="s">
        <v>40</v>
      </c>
      <c r="E65" t="s">
        <v>93</v>
      </c>
    </row>
    <row r="66" spans="1:5">
      <c r="A66" s="2">
        <v>11</v>
      </c>
      <c r="B66" s="17" t="s">
        <v>44</v>
      </c>
      <c r="E66" t="s">
        <v>58</v>
      </c>
    </row>
    <row r="67" spans="1:5">
      <c r="A67" s="2">
        <v>12</v>
      </c>
      <c r="B67" s="17" t="s">
        <v>46</v>
      </c>
      <c r="E67" t="s">
        <v>77</v>
      </c>
    </row>
    <row r="68" spans="1:5">
      <c r="A68" s="2">
        <v>13</v>
      </c>
      <c r="B68" s="19" t="s">
        <v>48</v>
      </c>
      <c r="E68" t="s">
        <v>76</v>
      </c>
    </row>
    <row r="69" spans="1:5">
      <c r="A69" s="2"/>
    </row>
    <row r="70" spans="1:5">
      <c r="A70" s="5" t="s">
        <v>91</v>
      </c>
    </row>
    <row r="71" spans="1:5">
      <c r="A71" s="18" t="s">
        <v>12</v>
      </c>
      <c r="B71" s="1" t="s">
        <v>14</v>
      </c>
    </row>
    <row r="72" spans="1:5">
      <c r="A72" s="2">
        <v>14</v>
      </c>
      <c r="B72" s="31" t="s">
        <v>79</v>
      </c>
      <c r="E72" t="s">
        <v>93</v>
      </c>
    </row>
    <row r="73" spans="1:5">
      <c r="A73" s="2">
        <v>15</v>
      </c>
      <c r="B73" t="s">
        <v>80</v>
      </c>
    </row>
    <row r="74" spans="1:5">
      <c r="A74" s="2">
        <v>16</v>
      </c>
      <c r="B74" t="s">
        <v>81</v>
      </c>
    </row>
    <row r="75" spans="1:5">
      <c r="A75" s="2">
        <v>17</v>
      </c>
      <c r="B75" s="17" t="s">
        <v>82</v>
      </c>
      <c r="E75" t="s">
        <v>58</v>
      </c>
    </row>
    <row r="76" spans="1:5">
      <c r="A76" s="2">
        <v>18</v>
      </c>
      <c r="B76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ABFC-BE54-6341-8BD4-DDED004D1282}">
  <dimension ref="A1:AN63"/>
  <sheetViews>
    <sheetView workbookViewId="0">
      <selection activeCell="AK21" sqref="AK21"/>
    </sheetView>
  </sheetViews>
  <sheetFormatPr defaultColWidth="11" defaultRowHeight="15.95"/>
  <cols>
    <col min="3" max="3" width="36" bestFit="1" customWidth="1"/>
    <col min="4" max="4" width="7.625" customWidth="1"/>
    <col min="5" max="7" width="6.625" customWidth="1"/>
    <col min="17" max="17" width="10.875" style="54" customWidth="1"/>
    <col min="31" max="31" width="10.875" style="56" customWidth="1"/>
    <col min="32" max="32" width="10.875" style="54" customWidth="1"/>
  </cols>
  <sheetData>
    <row r="1" spans="1:40" ht="21.95">
      <c r="A1" s="32" t="s">
        <v>94</v>
      </c>
      <c r="D1" s="33" t="s">
        <v>95</v>
      </c>
      <c r="E1" s="34" t="s">
        <v>96</v>
      </c>
      <c r="F1" s="35"/>
      <c r="H1" s="36" t="s">
        <v>97</v>
      </c>
      <c r="I1" s="36"/>
      <c r="J1" s="36"/>
      <c r="K1" s="36"/>
      <c r="L1" s="36"/>
      <c r="M1" s="36"/>
      <c r="N1" s="36"/>
      <c r="O1" s="36"/>
      <c r="P1" s="36"/>
      <c r="Q1" s="37"/>
      <c r="R1" s="36"/>
      <c r="S1" s="36"/>
      <c r="T1" s="36"/>
      <c r="U1" s="36" t="s">
        <v>98</v>
      </c>
      <c r="V1" s="36"/>
      <c r="W1" s="36"/>
      <c r="X1" s="36"/>
      <c r="Y1" s="36"/>
      <c r="Z1" s="36"/>
      <c r="AA1" s="36"/>
      <c r="AB1" s="36"/>
      <c r="AC1" s="36"/>
      <c r="AD1" s="36"/>
      <c r="AE1" s="38"/>
      <c r="AF1" s="39"/>
      <c r="AG1" s="36"/>
      <c r="AH1" s="36"/>
    </row>
    <row r="2" spans="1:40" ht="21.95">
      <c r="A2" s="32"/>
      <c r="D2" s="40" t="s">
        <v>99</v>
      </c>
      <c r="E2" s="41"/>
      <c r="H2" s="36"/>
      <c r="I2" s="36"/>
      <c r="J2" s="36"/>
      <c r="K2" s="36"/>
      <c r="L2" s="36"/>
      <c r="M2" s="36"/>
      <c r="N2" s="36"/>
      <c r="O2" s="36"/>
      <c r="P2" s="36"/>
      <c r="Q2" s="37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8"/>
      <c r="AF2" s="39"/>
      <c r="AG2" s="36"/>
      <c r="AH2" s="36"/>
    </row>
    <row r="3" spans="1:40" s="51" customFormat="1" ht="51">
      <c r="A3" s="42" t="s">
        <v>61</v>
      </c>
      <c r="B3" s="42" t="s">
        <v>100</v>
      </c>
      <c r="C3" s="42" t="s">
        <v>63</v>
      </c>
      <c r="D3" s="42" t="s">
        <v>101</v>
      </c>
      <c r="E3" s="42" t="s">
        <v>102</v>
      </c>
      <c r="F3" s="43" t="s">
        <v>103</v>
      </c>
      <c r="G3" s="43"/>
      <c r="H3" s="42" t="s">
        <v>104</v>
      </c>
      <c r="I3" s="42" t="s">
        <v>105</v>
      </c>
      <c r="J3" s="42" t="s">
        <v>106</v>
      </c>
      <c r="K3" s="42" t="s">
        <v>107</v>
      </c>
      <c r="L3" s="42" t="s">
        <v>108</v>
      </c>
      <c r="M3" s="44" t="s">
        <v>109</v>
      </c>
      <c r="N3" s="45" t="s">
        <v>110</v>
      </c>
      <c r="O3" s="45" t="s">
        <v>111</v>
      </c>
      <c r="P3" s="45" t="s">
        <v>112</v>
      </c>
      <c r="Q3" s="46" t="s">
        <v>113</v>
      </c>
      <c r="R3" s="45" t="s">
        <v>114</v>
      </c>
      <c r="S3" s="45" t="s">
        <v>115</v>
      </c>
      <c r="T3" s="45"/>
      <c r="U3" s="48" t="s">
        <v>116</v>
      </c>
      <c r="V3" s="48" t="s">
        <v>117</v>
      </c>
      <c r="W3" s="48" t="s">
        <v>118</v>
      </c>
      <c r="X3" s="48" t="s">
        <v>119</v>
      </c>
      <c r="Y3" s="45" t="s">
        <v>120</v>
      </c>
      <c r="Z3" s="45" t="s">
        <v>121</v>
      </c>
      <c r="AA3" s="45" t="s">
        <v>122</v>
      </c>
      <c r="AB3" s="45" t="s">
        <v>123</v>
      </c>
      <c r="AC3" s="45" t="s">
        <v>124</v>
      </c>
      <c r="AD3" s="45" t="s">
        <v>125</v>
      </c>
      <c r="AE3" s="49" t="s">
        <v>126</v>
      </c>
      <c r="AF3" s="46" t="s">
        <v>127</v>
      </c>
      <c r="AG3" s="45" t="s">
        <v>128</v>
      </c>
      <c r="AH3" s="50" t="s">
        <v>129</v>
      </c>
    </row>
    <row r="4" spans="1:40">
      <c r="A4" s="52">
        <v>1</v>
      </c>
      <c r="B4" s="52">
        <v>3</v>
      </c>
      <c r="C4" s="52" t="s">
        <v>68</v>
      </c>
      <c r="D4" s="52"/>
      <c r="E4" s="52"/>
      <c r="F4" s="53"/>
      <c r="G4" s="53"/>
      <c r="H4" s="52">
        <v>0.68034955211354975</v>
      </c>
      <c r="I4" s="52">
        <v>0.45340323939706029</v>
      </c>
      <c r="J4" s="52">
        <v>0.25859001966108042</v>
      </c>
      <c r="K4" s="52">
        <v>0.14170699192794986</v>
      </c>
      <c r="L4" s="52">
        <v>0.53769188149789782</v>
      </c>
      <c r="M4" s="52">
        <v>0.15359888955856299</v>
      </c>
      <c r="N4">
        <v>0.96034301596447824</v>
      </c>
      <c r="O4">
        <v>0.66277887548197745</v>
      </c>
      <c r="P4">
        <v>1.9759573073682242</v>
      </c>
      <c r="Q4" s="54">
        <v>0.13429037851064371</v>
      </c>
      <c r="R4">
        <v>0.29538668152529535</v>
      </c>
      <c r="S4">
        <v>0.44883303411131059</v>
      </c>
      <c r="U4" s="52">
        <v>0.37</v>
      </c>
      <c r="V4" s="55">
        <v>0.37</v>
      </c>
      <c r="W4">
        <v>1.8</v>
      </c>
      <c r="X4">
        <v>0.43</v>
      </c>
      <c r="Y4">
        <v>0.18</v>
      </c>
      <c r="Z4">
        <v>0.52</v>
      </c>
      <c r="AA4">
        <v>0.59</v>
      </c>
      <c r="AB4">
        <v>1.1000000000000001</v>
      </c>
      <c r="AC4">
        <v>0.09</v>
      </c>
      <c r="AD4">
        <v>0.63495973820641971</v>
      </c>
      <c r="AE4" s="56">
        <v>30.002865827181939</v>
      </c>
      <c r="AF4" s="54">
        <v>0.12072463611432444</v>
      </c>
      <c r="AG4">
        <v>0.28355258207290956</v>
      </c>
      <c r="AH4">
        <v>0.64219367295900043</v>
      </c>
    </row>
    <row r="5" spans="1:40">
      <c r="A5" s="20">
        <v>2</v>
      </c>
      <c r="B5" s="20">
        <v>6</v>
      </c>
      <c r="C5" s="20" t="s">
        <v>69</v>
      </c>
      <c r="D5" s="20"/>
      <c r="E5" s="20"/>
      <c r="F5" s="57"/>
      <c r="G5" s="57"/>
      <c r="H5" s="20">
        <v>0.73504460620655676</v>
      </c>
      <c r="I5" s="20">
        <v>0.42284430296788694</v>
      </c>
      <c r="J5" s="20">
        <v>0.25975095964797307</v>
      </c>
      <c r="K5" s="20">
        <v>0.14567478770193248</v>
      </c>
      <c r="L5" s="20">
        <v>0.54743669132744521</v>
      </c>
      <c r="M5" s="20">
        <v>0.15790915566270344</v>
      </c>
      <c r="N5">
        <v>0.88872318069348888</v>
      </c>
      <c r="O5">
        <v>0.55631222544073355</v>
      </c>
      <c r="P5">
        <v>1.8675404924632524</v>
      </c>
      <c r="Q5" s="54">
        <v>0.15383668697310934</v>
      </c>
      <c r="R5">
        <v>0.32538968182532546</v>
      </c>
      <c r="S5">
        <v>0.42790999041589611</v>
      </c>
      <c r="U5" s="20">
        <v>0.54</v>
      </c>
      <c r="V5" s="58">
        <v>0.54</v>
      </c>
      <c r="W5">
        <v>1.91</v>
      </c>
      <c r="X5">
        <v>0.47</v>
      </c>
      <c r="Y5">
        <v>0.18</v>
      </c>
      <c r="Z5">
        <v>0.56000000000000005</v>
      </c>
      <c r="AA5">
        <v>0.64</v>
      </c>
      <c r="AB5">
        <v>1.22</v>
      </c>
      <c r="AC5">
        <v>0.08</v>
      </c>
      <c r="AD5">
        <v>1.0392690370261424</v>
      </c>
      <c r="AE5" s="56">
        <v>35.013547546678247</v>
      </c>
      <c r="AF5" s="54">
        <v>0.10883235852694322</v>
      </c>
      <c r="AG5">
        <v>0.35059275829280129</v>
      </c>
      <c r="AH5">
        <v>0.73708940298064862</v>
      </c>
    </row>
    <row r="6" spans="1:40">
      <c r="A6" s="20">
        <v>3</v>
      </c>
      <c r="B6" s="20">
        <v>9</v>
      </c>
      <c r="C6" s="20" t="s">
        <v>69</v>
      </c>
      <c r="D6" s="59" t="s">
        <v>130</v>
      </c>
      <c r="E6" s="59" t="s">
        <v>131</v>
      </c>
      <c r="F6" s="57"/>
      <c r="G6" s="57"/>
      <c r="H6">
        <v>0.73070257055807941</v>
      </c>
      <c r="I6" s="20">
        <v>0.4612676715663328</v>
      </c>
      <c r="J6" s="20">
        <v>0.31476453515588432</v>
      </c>
      <c r="K6" s="20">
        <v>0.15545781855206947</v>
      </c>
      <c r="L6" s="20">
        <v>0.55646449173809609</v>
      </c>
      <c r="M6" s="20">
        <v>0.27563786459189454</v>
      </c>
      <c r="N6">
        <v>0.93505745178456434</v>
      </c>
      <c r="O6">
        <v>0.66381476721210841</v>
      </c>
      <c r="P6">
        <v>1.8806853290890366</v>
      </c>
      <c r="Q6" s="54">
        <v>0.15818031107587952</v>
      </c>
      <c r="R6">
        <v>0.28931464575028931</v>
      </c>
      <c r="S6">
        <v>0.42925986420269702</v>
      </c>
      <c r="U6" s="20">
        <v>0.41</v>
      </c>
      <c r="V6" s="58">
        <v>0.41</v>
      </c>
      <c r="W6">
        <v>2.0099999999999998</v>
      </c>
      <c r="X6">
        <v>0.48</v>
      </c>
      <c r="Y6">
        <v>0.18</v>
      </c>
      <c r="Z6">
        <v>0.62</v>
      </c>
      <c r="AA6">
        <v>0.65</v>
      </c>
      <c r="AB6">
        <v>1.1499999999999999</v>
      </c>
      <c r="AC6">
        <v>0.06</v>
      </c>
      <c r="AD6">
        <v>0.78736625363091506</v>
      </c>
      <c r="AE6" s="56">
        <v>44.973621363438987</v>
      </c>
      <c r="AF6" s="54">
        <v>0.1405450987599598</v>
      </c>
      <c r="AG6">
        <v>0.39847859844986694</v>
      </c>
      <c r="AH6">
        <v>0.58683783044637239</v>
      </c>
    </row>
    <row r="7" spans="1:40">
      <c r="A7" s="20">
        <v>4</v>
      </c>
      <c r="B7" s="20">
        <v>12</v>
      </c>
      <c r="C7" s="20" t="s">
        <v>70</v>
      </c>
      <c r="D7" s="59" t="s">
        <v>130</v>
      </c>
      <c r="E7" s="59" t="s">
        <v>131</v>
      </c>
      <c r="F7" s="57"/>
      <c r="G7" s="57"/>
      <c r="H7" s="20">
        <v>0.66965865761771848</v>
      </c>
      <c r="I7" s="20">
        <v>0.55638985113753392</v>
      </c>
      <c r="J7" s="20">
        <v>0.31101956745623072</v>
      </c>
      <c r="K7" s="20">
        <v>0.12608773237322474</v>
      </c>
      <c r="L7" s="20">
        <v>0.65414072939412704</v>
      </c>
      <c r="M7" s="20">
        <v>0.1802275674392271</v>
      </c>
      <c r="N7">
        <v>1.0105413008846558</v>
      </c>
      <c r="O7">
        <v>0.50390377716817902</v>
      </c>
      <c r="P7">
        <v>2.0041569141466158</v>
      </c>
      <c r="Q7" s="54">
        <v>0.15781834240064865</v>
      </c>
      <c r="R7">
        <v>0.31467432457531469</v>
      </c>
      <c r="S7">
        <v>0.45018290789811155</v>
      </c>
      <c r="U7" s="20">
        <v>0.53</v>
      </c>
      <c r="V7" s="58">
        <v>0.53</v>
      </c>
      <c r="W7">
        <v>2.46</v>
      </c>
      <c r="X7">
        <v>0.43</v>
      </c>
      <c r="Y7">
        <v>0.19</v>
      </c>
      <c r="Z7">
        <v>0.59</v>
      </c>
      <c r="AA7">
        <v>0.59</v>
      </c>
      <c r="AB7">
        <v>1.25</v>
      </c>
      <c r="AC7">
        <v>0.06</v>
      </c>
      <c r="AD7">
        <v>1.0511821156745229</v>
      </c>
      <c r="AE7" s="56">
        <v>40.949924012158057</v>
      </c>
      <c r="AF7" s="54">
        <v>0.25153968957551776</v>
      </c>
      <c r="AG7">
        <v>0.45730977349997598</v>
      </c>
      <c r="AH7">
        <v>0.53906046637297322</v>
      </c>
    </row>
    <row r="8" spans="1:40">
      <c r="A8" s="20">
        <v>5</v>
      </c>
      <c r="B8" s="20">
        <v>15</v>
      </c>
      <c r="C8" s="20" t="s">
        <v>70</v>
      </c>
      <c r="D8" s="59" t="s">
        <v>130</v>
      </c>
      <c r="E8" s="59" t="s">
        <v>131</v>
      </c>
      <c r="F8" s="57"/>
      <c r="G8" s="57"/>
      <c r="H8" s="20">
        <v>0.89416744203017529</v>
      </c>
      <c r="I8" s="20">
        <v>1.0604999531879038</v>
      </c>
      <c r="J8" s="20">
        <v>0.52796554629716319</v>
      </c>
      <c r="K8" s="20">
        <v>0.29508644126507605</v>
      </c>
      <c r="L8" s="20">
        <v>0.71893230779258888</v>
      </c>
      <c r="M8" s="20">
        <v>0.16978065128851386</v>
      </c>
      <c r="N8">
        <v>1.2000135579432603</v>
      </c>
      <c r="O8">
        <v>0.75919353910491283</v>
      </c>
      <c r="P8">
        <v>2.1914801984832879</v>
      </c>
      <c r="Q8" s="54">
        <v>0.27039060039744162</v>
      </c>
      <c r="R8">
        <v>0.31931764605031937</v>
      </c>
      <c r="S8">
        <v>0.4063120098270811</v>
      </c>
      <c r="U8" s="20">
        <v>0.52</v>
      </c>
      <c r="V8" s="58">
        <v>0.52</v>
      </c>
      <c r="W8">
        <v>3.66</v>
      </c>
      <c r="X8">
        <v>0.53</v>
      </c>
      <c r="Y8">
        <v>0.23</v>
      </c>
      <c r="Z8">
        <v>0.71</v>
      </c>
      <c r="AA8">
        <v>0.99</v>
      </c>
      <c r="AB8">
        <v>1.51</v>
      </c>
      <c r="AC8">
        <v>0.12</v>
      </c>
      <c r="AD8">
        <v>1.5848071478471888</v>
      </c>
      <c r="AE8" s="56">
        <v>44.649095382833984</v>
      </c>
      <c r="AF8" s="54">
        <v>0.13369802984601303</v>
      </c>
      <c r="AG8">
        <v>0.52913853373557429</v>
      </c>
      <c r="AH8">
        <v>0.64120517577127489</v>
      </c>
    </row>
    <row r="9" spans="1:40">
      <c r="A9" s="20">
        <v>6</v>
      </c>
      <c r="B9" s="20">
        <v>18</v>
      </c>
      <c r="C9" s="20" t="s">
        <v>70</v>
      </c>
      <c r="D9" s="59" t="s">
        <v>130</v>
      </c>
      <c r="E9" s="59" t="s">
        <v>131</v>
      </c>
      <c r="F9" s="57"/>
      <c r="G9" s="57"/>
      <c r="H9" s="20">
        <v>5.0736139237042304</v>
      </c>
      <c r="I9" s="20">
        <v>3.5202696376743754</v>
      </c>
      <c r="J9" s="20">
        <v>2.4377118247355116</v>
      </c>
      <c r="K9" s="20">
        <v>1.2996525554494209</v>
      </c>
      <c r="L9" s="20">
        <v>1.282599485056872</v>
      </c>
      <c r="M9" s="20">
        <v>1.2932259419575185</v>
      </c>
      <c r="N9">
        <v>2.7931735755685865</v>
      </c>
      <c r="O9">
        <v>2.3030942469642621</v>
      </c>
      <c r="P9">
        <v>3.3535811253627941</v>
      </c>
      <c r="Q9" s="54">
        <v>1.8272178725653083</v>
      </c>
      <c r="R9">
        <v>2.1284271284271283</v>
      </c>
      <c r="S9">
        <v>1.8503394932573802</v>
      </c>
      <c r="U9" s="20">
        <v>1.65</v>
      </c>
      <c r="V9" s="58">
        <v>1.65</v>
      </c>
      <c r="W9">
        <v>3.59</v>
      </c>
      <c r="X9">
        <v>1.82</v>
      </c>
      <c r="Y9">
        <v>0.89</v>
      </c>
      <c r="Z9">
        <v>2.39</v>
      </c>
      <c r="AA9">
        <v>3.37</v>
      </c>
      <c r="AB9">
        <v>4.5599999999999996</v>
      </c>
      <c r="AC9">
        <v>1.02</v>
      </c>
      <c r="AD9">
        <v>4.0904143839394047</v>
      </c>
      <c r="AE9" s="56">
        <v>28.101128962223186</v>
      </c>
      <c r="AF9" s="54">
        <v>0.65623749959458144</v>
      </c>
      <c r="AG9">
        <v>3.0383565579658089</v>
      </c>
      <c r="AH9">
        <v>2.0287257282753033</v>
      </c>
    </row>
    <row r="10" spans="1:40">
      <c r="A10" s="20">
        <v>7</v>
      </c>
      <c r="B10" s="20">
        <v>21</v>
      </c>
      <c r="C10" s="20" t="s">
        <v>70</v>
      </c>
      <c r="D10" s="59" t="s">
        <v>130</v>
      </c>
      <c r="E10" s="59" t="s">
        <v>131</v>
      </c>
      <c r="F10" s="57"/>
      <c r="G10" s="57"/>
      <c r="H10" s="20">
        <v>2.4896283728312625</v>
      </c>
      <c r="I10" s="20">
        <v>2.8426551820990547</v>
      </c>
      <c r="J10" s="20">
        <v>1.5172362138376558</v>
      </c>
      <c r="K10" s="20">
        <v>1.013803310695204</v>
      </c>
      <c r="L10" s="20">
        <v>0.95000488870058342</v>
      </c>
      <c r="M10" s="20">
        <v>0.89131189158584934</v>
      </c>
      <c r="N10">
        <v>1.6868793004101279</v>
      </c>
      <c r="O10">
        <v>1.3323869631107446</v>
      </c>
      <c r="P10">
        <v>2.4950098305402117</v>
      </c>
      <c r="Q10" s="54">
        <v>1.4478747009233821</v>
      </c>
      <c r="R10">
        <v>1.5201520152015204</v>
      </c>
      <c r="S10">
        <v>0.97292153183677321</v>
      </c>
      <c r="U10" s="20">
        <v>1.1000000000000001</v>
      </c>
      <c r="V10" s="58">
        <v>1.1000000000000001</v>
      </c>
      <c r="W10">
        <v>3.08</v>
      </c>
      <c r="X10">
        <v>1.1100000000000001</v>
      </c>
      <c r="Y10">
        <v>0.54</v>
      </c>
      <c r="Z10">
        <v>1.31</v>
      </c>
      <c r="AA10">
        <v>2.0299999999999998</v>
      </c>
      <c r="AB10">
        <v>2.93</v>
      </c>
      <c r="AC10">
        <v>0.75</v>
      </c>
      <c r="AD10">
        <v>2.6882376732727873</v>
      </c>
      <c r="AE10" s="56">
        <v>27.917889709075119</v>
      </c>
      <c r="AF10" s="54">
        <v>0.90525458483338195</v>
      </c>
      <c r="AG10">
        <v>1.727310662808436</v>
      </c>
      <c r="AH10">
        <v>1.5700630331706704</v>
      </c>
      <c r="AK10" s="60"/>
      <c r="AN10" s="25"/>
    </row>
    <row r="11" spans="1:40">
      <c r="A11" s="20">
        <v>8</v>
      </c>
      <c r="B11" s="20">
        <v>24</v>
      </c>
      <c r="C11" s="20" t="s">
        <v>70</v>
      </c>
      <c r="D11" s="59" t="s">
        <v>130</v>
      </c>
      <c r="E11" s="59" t="s">
        <v>131</v>
      </c>
      <c r="F11" s="57"/>
      <c r="G11" s="57"/>
      <c r="H11" s="20">
        <v>2.1859777789940344</v>
      </c>
      <c r="I11" s="20">
        <v>2.1775114689635799</v>
      </c>
      <c r="J11" s="20">
        <v>1.1850201292013858</v>
      </c>
      <c r="K11" s="20">
        <v>0.86109565746795858</v>
      </c>
      <c r="L11" s="20">
        <v>0.88332301274321301</v>
      </c>
      <c r="M11" s="20">
        <v>0.89339396928022219</v>
      </c>
      <c r="N11">
        <v>1.4422262142832933</v>
      </c>
      <c r="O11">
        <v>1.2180935755529554</v>
      </c>
      <c r="P11">
        <v>1.9259619885778485</v>
      </c>
      <c r="Q11" s="54">
        <v>1.1966684403131753</v>
      </c>
      <c r="R11">
        <v>1.2822710842512823</v>
      </c>
      <c r="S11">
        <v>1.1787772843239157</v>
      </c>
      <c r="U11" s="20">
        <v>0.98</v>
      </c>
      <c r="V11" s="58">
        <v>0.98</v>
      </c>
      <c r="W11">
        <v>2.39</v>
      </c>
      <c r="X11">
        <v>0.85</v>
      </c>
      <c r="Y11">
        <v>0.39</v>
      </c>
      <c r="Z11">
        <v>1.19</v>
      </c>
      <c r="AA11">
        <v>1.57</v>
      </c>
      <c r="AB11">
        <v>2.2000000000000002</v>
      </c>
      <c r="AC11">
        <v>0.69</v>
      </c>
      <c r="AD11">
        <v>2.5256829797404126</v>
      </c>
      <c r="AE11" s="56">
        <v>35.118258792878848</v>
      </c>
      <c r="AF11" s="54">
        <v>0.69299544850103256</v>
      </c>
      <c r="AG11">
        <v>1.3315683980818298</v>
      </c>
      <c r="AH11">
        <v>1.5097647047194152</v>
      </c>
      <c r="AK11" s="60"/>
      <c r="AN11" s="25"/>
    </row>
    <row r="12" spans="1:40">
      <c r="A12" s="20">
        <v>9</v>
      </c>
      <c r="B12" s="20">
        <v>27</v>
      </c>
      <c r="C12" s="20" t="s">
        <v>70</v>
      </c>
      <c r="D12" s="59" t="s">
        <v>130</v>
      </c>
      <c r="E12" s="59" t="s">
        <v>131</v>
      </c>
      <c r="F12" s="57"/>
      <c r="G12" s="57"/>
      <c r="H12" s="20">
        <v>2.0149964424497839</v>
      </c>
      <c r="I12" s="20">
        <v>3.3517460911899635</v>
      </c>
      <c r="J12" s="20">
        <v>2.0570358580657242</v>
      </c>
      <c r="K12" s="20">
        <v>0.97611974765658638</v>
      </c>
      <c r="L12" s="20">
        <v>0.9255287944464361</v>
      </c>
      <c r="M12" s="20">
        <v>0.73720161452340527</v>
      </c>
      <c r="N12">
        <v>2.0310476900654173</v>
      </c>
      <c r="O12">
        <v>1.3417867214026744</v>
      </c>
      <c r="P12">
        <v>2.6862653309615205</v>
      </c>
      <c r="Q12" s="54">
        <v>1.3483333152348995</v>
      </c>
      <c r="R12">
        <v>1.6705241952766705</v>
      </c>
      <c r="S12">
        <v>1.1362562600396862</v>
      </c>
      <c r="U12" s="20">
        <v>0.93</v>
      </c>
      <c r="V12" s="58">
        <v>0.93</v>
      </c>
      <c r="W12">
        <v>2.71</v>
      </c>
      <c r="X12">
        <v>1.1200000000000001</v>
      </c>
      <c r="Y12">
        <v>0.59</v>
      </c>
      <c r="Z12">
        <v>1.67</v>
      </c>
      <c r="AA12">
        <v>2.44</v>
      </c>
      <c r="AB12">
        <v>3.43</v>
      </c>
      <c r="AC12">
        <v>0.76</v>
      </c>
      <c r="AD12">
        <v>2.4115527447880281</v>
      </c>
      <c r="AE12" s="56">
        <v>28.606234621508175</v>
      </c>
      <c r="AF12" s="54">
        <v>0.90201123640045988</v>
      </c>
      <c r="AG12">
        <v>1.8011916733364801</v>
      </c>
      <c r="AH12">
        <v>1.5802775041105011</v>
      </c>
      <c r="AK12" s="60"/>
      <c r="AN12" s="25"/>
    </row>
    <row r="13" spans="1:40">
      <c r="A13" s="20">
        <v>10</v>
      </c>
      <c r="B13" s="20">
        <v>30</v>
      </c>
      <c r="C13" s="20" t="s">
        <v>70</v>
      </c>
      <c r="D13" s="59" t="s">
        <v>130</v>
      </c>
      <c r="E13" s="20"/>
      <c r="F13" s="57"/>
      <c r="G13" s="57"/>
      <c r="H13" s="20">
        <v>2.6109134694324343</v>
      </c>
      <c r="I13" s="20">
        <v>2.9284149424211221</v>
      </c>
      <c r="J13" s="20">
        <v>1.9057017133227228</v>
      </c>
      <c r="K13" s="20">
        <v>1.074327941469764</v>
      </c>
      <c r="L13" s="20">
        <v>0.99442688133494128</v>
      </c>
      <c r="M13" s="20">
        <v>0.79648603729476009</v>
      </c>
      <c r="N13">
        <v>1.8396095312341121</v>
      </c>
      <c r="O13">
        <v>1.4138771125477181</v>
      </c>
      <c r="P13">
        <v>2.2394906843928473</v>
      </c>
      <c r="Q13" s="54">
        <v>1.3888738068607545</v>
      </c>
      <c r="R13">
        <v>1.7001700170017002</v>
      </c>
      <c r="S13">
        <v>1.1899137430650233</v>
      </c>
      <c r="U13" s="20">
        <v>1.02</v>
      </c>
      <c r="V13" s="58">
        <v>1.02</v>
      </c>
      <c r="W13">
        <v>2.72</v>
      </c>
      <c r="X13">
        <v>1.1200000000000001</v>
      </c>
      <c r="Y13">
        <v>0.46</v>
      </c>
      <c r="Z13">
        <v>1.36</v>
      </c>
      <c r="AA13">
        <v>1.87</v>
      </c>
      <c r="AB13">
        <v>2.9</v>
      </c>
      <c r="AC13">
        <v>0.69</v>
      </c>
      <c r="AD13">
        <v>2.6326065374857519</v>
      </c>
      <c r="AE13" s="56">
        <v>25.115559415255465</v>
      </c>
      <c r="AF13" s="54">
        <v>0.88110965761051707</v>
      </c>
      <c r="AG13">
        <v>1.8699420581334096</v>
      </c>
      <c r="AH13">
        <v>1.6128979113054422</v>
      </c>
      <c r="AK13" s="60"/>
      <c r="AN13" s="25"/>
    </row>
    <row r="14" spans="1:40">
      <c r="A14" s="20">
        <v>11</v>
      </c>
      <c r="B14" s="20">
        <v>33</v>
      </c>
      <c r="C14" s="20" t="s">
        <v>70</v>
      </c>
      <c r="D14" s="59" t="s">
        <v>130</v>
      </c>
      <c r="E14" s="20"/>
      <c r="F14" s="57"/>
      <c r="G14" s="57"/>
      <c r="H14" s="20">
        <v>2.3494061627716052</v>
      </c>
      <c r="I14" s="20">
        <v>2.6514371313547422</v>
      </c>
      <c r="J14" s="20">
        <v>2.4222076584589458</v>
      </c>
      <c r="K14" s="20">
        <v>1.1535369015503796</v>
      </c>
      <c r="L14" s="20">
        <v>1.0539386631033472</v>
      </c>
      <c r="M14" s="20">
        <v>0.93474330173689124</v>
      </c>
      <c r="N14">
        <v>2.1630003728434399</v>
      </c>
      <c r="O14">
        <v>1.4765293790404574</v>
      </c>
      <c r="P14">
        <v>2.5899447617264304</v>
      </c>
      <c r="Q14" s="54">
        <v>1.3548487513890548</v>
      </c>
      <c r="R14">
        <v>1.7933936250767935</v>
      </c>
      <c r="S14">
        <v>1.2655066751258757</v>
      </c>
      <c r="U14" s="20">
        <v>0.93</v>
      </c>
      <c r="V14" s="58">
        <v>0.93</v>
      </c>
      <c r="W14">
        <v>2.93</v>
      </c>
      <c r="X14">
        <v>1.17</v>
      </c>
      <c r="Y14">
        <v>0.62</v>
      </c>
      <c r="Z14">
        <v>1.57</v>
      </c>
      <c r="AA14">
        <v>2.3199999999999998</v>
      </c>
      <c r="AB14">
        <v>3.53</v>
      </c>
      <c r="AC14">
        <v>0.78</v>
      </c>
      <c r="AD14">
        <v>2.0351877045262343</v>
      </c>
      <c r="AE14" s="56">
        <v>25.617621942393978</v>
      </c>
      <c r="AF14" s="54">
        <v>0.76723209041013951</v>
      </c>
      <c r="AG14">
        <v>2.3446959591191741</v>
      </c>
      <c r="AH14">
        <v>1.616192901931194</v>
      </c>
      <c r="AK14" s="60"/>
      <c r="AN14" s="25"/>
    </row>
    <row r="15" spans="1:40">
      <c r="A15" s="20">
        <v>12</v>
      </c>
      <c r="B15" s="20">
        <v>36</v>
      </c>
      <c r="C15" s="20" t="s">
        <v>70</v>
      </c>
      <c r="D15" s="59" t="s">
        <v>130</v>
      </c>
      <c r="E15" s="20"/>
      <c r="F15" s="57"/>
      <c r="G15" s="57"/>
      <c r="H15" s="20">
        <v>2.7927316512506155</v>
      </c>
      <c r="I15" s="20">
        <v>3.3335455481696479</v>
      </c>
      <c r="J15" s="20">
        <v>2.2115532253534314</v>
      </c>
      <c r="K15" s="20">
        <v>1.0586247074013038</v>
      </c>
      <c r="L15" s="20">
        <v>0.97630609783919442</v>
      </c>
      <c r="M15" s="20">
        <v>1.0412214855806987</v>
      </c>
      <c r="N15">
        <v>2.4824594109073654</v>
      </c>
      <c r="O15">
        <v>1.4679736806767827</v>
      </c>
      <c r="P15">
        <v>2.608370002808726</v>
      </c>
      <c r="Q15" s="54">
        <v>1.3512290646367464</v>
      </c>
      <c r="R15">
        <v>1.8326832683268328</v>
      </c>
      <c r="S15">
        <v>1.4315411509023905</v>
      </c>
      <c r="U15" s="20">
        <v>1.21</v>
      </c>
      <c r="V15" s="58">
        <v>1.21</v>
      </c>
      <c r="W15">
        <v>3.04</v>
      </c>
      <c r="X15">
        <v>1.41</v>
      </c>
      <c r="Y15">
        <v>0.63</v>
      </c>
      <c r="Z15">
        <v>1.83</v>
      </c>
      <c r="AA15">
        <v>1.81</v>
      </c>
      <c r="AB15">
        <v>3.43</v>
      </c>
      <c r="AC15">
        <v>0.81</v>
      </c>
      <c r="AD15">
        <v>3.024377688715667</v>
      </c>
      <c r="AE15" s="56">
        <v>22.550763496888116</v>
      </c>
      <c r="AF15" s="54">
        <v>0.81263896847104955</v>
      </c>
      <c r="AG15">
        <v>2.2225870667186571</v>
      </c>
      <c r="AH15">
        <v>1.6939546806989336</v>
      </c>
      <c r="AK15" s="60"/>
      <c r="AN15" s="25"/>
    </row>
    <row r="16" spans="1:40">
      <c r="A16" s="20">
        <v>13</v>
      </c>
      <c r="B16" s="20">
        <v>39</v>
      </c>
      <c r="C16" s="20" t="s">
        <v>70</v>
      </c>
      <c r="D16" s="59" t="s">
        <v>130</v>
      </c>
      <c r="E16" s="20"/>
      <c r="F16" s="57"/>
      <c r="G16" s="57"/>
      <c r="H16" s="20">
        <v>2.7944830605878166</v>
      </c>
      <c r="I16" s="20">
        <v>3.5218050744312333</v>
      </c>
      <c r="J16" s="20">
        <v>2.5294635333770246</v>
      </c>
      <c r="K16" s="20">
        <v>1.0707380310075891</v>
      </c>
      <c r="L16" s="20">
        <v>1.0722224032852068</v>
      </c>
      <c r="M16" s="20">
        <v>1.0061183862071486</v>
      </c>
      <c r="N16">
        <v>2.7490085753991123</v>
      </c>
      <c r="O16">
        <v>1.7195802720174953</v>
      </c>
      <c r="P16">
        <v>2.7323284336672597</v>
      </c>
      <c r="Q16" s="54">
        <v>1.3606402501927484</v>
      </c>
      <c r="R16">
        <v>2.1691454859771695</v>
      </c>
      <c r="S16">
        <v>1.277318070760384</v>
      </c>
      <c r="U16" s="20">
        <v>0.93</v>
      </c>
      <c r="V16" s="58">
        <v>0.93</v>
      </c>
      <c r="W16">
        <v>2.37</v>
      </c>
      <c r="X16">
        <v>1.25</v>
      </c>
      <c r="Y16">
        <v>0.59</v>
      </c>
      <c r="Z16">
        <v>1.58</v>
      </c>
      <c r="AA16">
        <v>2.09</v>
      </c>
      <c r="AB16">
        <v>3.19</v>
      </c>
      <c r="AC16">
        <v>0.81</v>
      </c>
      <c r="AD16">
        <v>2.4215906166121264</v>
      </c>
      <c r="AE16" s="56">
        <v>28.818844984802432</v>
      </c>
      <c r="AF16" s="54">
        <v>0.68758986777949549</v>
      </c>
      <c r="AG16">
        <v>1.8268448019920509</v>
      </c>
      <c r="AH16">
        <v>1.8059843619744904</v>
      </c>
      <c r="AK16" s="60"/>
      <c r="AN16" s="25"/>
    </row>
    <row r="17" spans="1:40">
      <c r="A17" s="20">
        <v>14</v>
      </c>
      <c r="B17" s="20">
        <v>42</v>
      </c>
      <c r="C17" s="20" t="s">
        <v>69</v>
      </c>
      <c r="D17" s="59" t="s">
        <v>130</v>
      </c>
      <c r="E17" s="20"/>
      <c r="F17" s="57"/>
      <c r="G17" s="57"/>
      <c r="H17" s="20">
        <v>3.0750369437907064</v>
      </c>
      <c r="I17" s="20">
        <v>2.6851418406516245</v>
      </c>
      <c r="J17" s="20">
        <v>2.6367568579721006</v>
      </c>
      <c r="K17" s="20">
        <v>0.91315985598370908</v>
      </c>
      <c r="L17" s="20">
        <v>1.1731577746634947</v>
      </c>
      <c r="M17" s="20">
        <v>1.1142768432779939</v>
      </c>
      <c r="N17">
        <v>2.5183879605463853</v>
      </c>
      <c r="O17">
        <v>1.1184177712981258</v>
      </c>
      <c r="P17">
        <v>2.9197640670349219</v>
      </c>
      <c r="Q17" s="54">
        <v>1.4098679900241433</v>
      </c>
      <c r="R17">
        <v>1.8694726615518695</v>
      </c>
      <c r="S17">
        <v>1.346836570780632</v>
      </c>
      <c r="U17" s="20">
        <v>1.18</v>
      </c>
      <c r="V17" s="58">
        <v>1.18</v>
      </c>
      <c r="W17">
        <v>2.93</v>
      </c>
      <c r="X17">
        <v>0.95</v>
      </c>
      <c r="Y17">
        <v>0.69</v>
      </c>
      <c r="Z17">
        <v>1.71</v>
      </c>
      <c r="AA17">
        <v>2.1</v>
      </c>
      <c r="AB17">
        <v>3.06</v>
      </c>
      <c r="AC17">
        <v>0.85</v>
      </c>
      <c r="AD17">
        <v>2.9606941942125964</v>
      </c>
      <c r="AE17" s="56">
        <v>32.095259806050073</v>
      </c>
      <c r="AF17" s="54">
        <v>0.6984010292225693</v>
      </c>
      <c r="AG17">
        <v>2.4681730183813215</v>
      </c>
      <c r="AH17">
        <v>1.8089498535376667</v>
      </c>
      <c r="AK17" s="60"/>
      <c r="AN17" s="25"/>
    </row>
    <row r="18" spans="1:40">
      <c r="A18" s="20">
        <v>15</v>
      </c>
      <c r="B18" s="20">
        <v>45</v>
      </c>
      <c r="C18" s="20" t="s">
        <v>69</v>
      </c>
      <c r="D18" s="59" t="s">
        <v>130</v>
      </c>
      <c r="E18" s="20"/>
      <c r="F18" s="57"/>
      <c r="G18" s="57"/>
      <c r="H18" s="20">
        <v>2.8546877565541022</v>
      </c>
      <c r="I18" s="20">
        <v>2.8199606778391537</v>
      </c>
      <c r="J18" s="20">
        <v>2.5429454170957775</v>
      </c>
      <c r="K18" s="20">
        <v>1.1732289250212562</v>
      </c>
      <c r="L18" s="20">
        <v>1.1802300948407913</v>
      </c>
      <c r="M18" s="20">
        <v>0.86640001461107152</v>
      </c>
      <c r="N18">
        <v>2.6520014913737593</v>
      </c>
      <c r="O18">
        <v>1.8666001649753496</v>
      </c>
      <c r="P18">
        <v>2.5702836813032488</v>
      </c>
      <c r="Q18" s="54">
        <v>1.427242486435224</v>
      </c>
      <c r="R18">
        <v>2.0469904133270473</v>
      </c>
      <c r="S18">
        <v>1.5250199106383553</v>
      </c>
      <c r="U18" s="20">
        <v>1.2</v>
      </c>
      <c r="V18" s="58">
        <v>1.2</v>
      </c>
      <c r="W18">
        <v>2.4</v>
      </c>
      <c r="X18">
        <v>1.21</v>
      </c>
      <c r="Y18">
        <v>0.68</v>
      </c>
      <c r="Z18">
        <v>1.76</v>
      </c>
      <c r="AA18">
        <v>2.39</v>
      </c>
      <c r="AB18">
        <v>3.63</v>
      </c>
      <c r="AC18">
        <v>0.9</v>
      </c>
      <c r="AD18">
        <v>3.1926315402434087</v>
      </c>
      <c r="AE18" s="56">
        <v>34.870002894774927</v>
      </c>
      <c r="AF18" s="54">
        <v>0.69515768078964724</v>
      </c>
      <c r="AG18">
        <v>2.4921159384598539</v>
      </c>
      <c r="AH18">
        <v>1.8606812063619682</v>
      </c>
      <c r="AK18" s="60"/>
    </row>
    <row r="19" spans="1:40">
      <c r="A19" s="20">
        <v>16</v>
      </c>
      <c r="B19" s="20">
        <v>48</v>
      </c>
      <c r="C19" s="20" t="s">
        <v>69</v>
      </c>
      <c r="D19" s="59" t="s">
        <v>130</v>
      </c>
      <c r="E19" s="20"/>
      <c r="F19" s="57"/>
      <c r="G19" s="57"/>
      <c r="H19" s="20">
        <v>2.3418532100049254</v>
      </c>
      <c r="I19" s="20">
        <v>2.6664170021533566</v>
      </c>
      <c r="J19" s="20">
        <v>2.1181911806010674</v>
      </c>
      <c r="K19" s="20">
        <v>0.84849948040769618</v>
      </c>
      <c r="L19" s="20">
        <v>1.2009581853143436</v>
      </c>
      <c r="M19" s="20">
        <v>0.89244424963015723</v>
      </c>
      <c r="N19">
        <v>2.2946480018981124</v>
      </c>
      <c r="O19">
        <v>1.2886876786433659</v>
      </c>
      <c r="P19">
        <v>2.3046905720438162</v>
      </c>
      <c r="Q19" s="54">
        <v>1.2849887970695015</v>
      </c>
      <c r="R19">
        <v>1.8033946251768036</v>
      </c>
      <c r="S19">
        <v>1.6400966509631352</v>
      </c>
      <c r="U19" s="20">
        <v>1.1299999999999999</v>
      </c>
      <c r="V19" s="58">
        <v>1.1299999999999999</v>
      </c>
      <c r="W19">
        <v>2.77</v>
      </c>
      <c r="X19">
        <v>1.03</v>
      </c>
      <c r="Y19">
        <v>0.51</v>
      </c>
      <c r="Z19">
        <v>1.65</v>
      </c>
      <c r="AA19">
        <v>2.5099999999999998</v>
      </c>
      <c r="AB19">
        <v>2.63</v>
      </c>
      <c r="AC19">
        <v>0.85</v>
      </c>
      <c r="AD19">
        <v>2.7594955325955066</v>
      </c>
      <c r="AE19" s="56">
        <v>40.234661311333042</v>
      </c>
      <c r="AF19" s="54">
        <v>0.85588361424334491</v>
      </c>
      <c r="AG19">
        <v>1.7861418378585452</v>
      </c>
      <c r="AH19">
        <v>2.1582188598673437</v>
      </c>
      <c r="AK19" s="60"/>
    </row>
    <row r="20" spans="1:40">
      <c r="A20" s="20">
        <v>17</v>
      </c>
      <c r="B20" s="20">
        <v>51</v>
      </c>
      <c r="C20" s="20" t="s">
        <v>69</v>
      </c>
      <c r="D20" s="59" t="s">
        <v>130</v>
      </c>
      <c r="E20" s="20"/>
      <c r="F20" s="57"/>
      <c r="G20" s="57"/>
      <c r="H20" s="20">
        <v>1.5257329465637712</v>
      </c>
      <c r="I20" s="20">
        <v>2.1472521299503793</v>
      </c>
      <c r="J20" s="20">
        <v>1.042561557906563</v>
      </c>
      <c r="K20" s="20">
        <v>0.77565158974251325</v>
      </c>
      <c r="L20" s="20">
        <v>1.0739497441580028</v>
      </c>
      <c r="M20" s="20">
        <v>0.57341150256606954</v>
      </c>
      <c r="N20">
        <v>2.3927736162424162</v>
      </c>
      <c r="O20">
        <v>1.2337854169464215</v>
      </c>
      <c r="P20">
        <v>2.2392285366538718</v>
      </c>
      <c r="Q20" s="54">
        <v>0.89261475311926519</v>
      </c>
      <c r="R20">
        <v>1.1776177617761776</v>
      </c>
      <c r="S20">
        <v>1.1602165197554029</v>
      </c>
      <c r="U20" s="20">
        <v>1.03</v>
      </c>
      <c r="V20" s="58">
        <v>1.03</v>
      </c>
      <c r="W20">
        <v>2.6</v>
      </c>
      <c r="X20">
        <v>0.93</v>
      </c>
      <c r="Y20">
        <v>0.42</v>
      </c>
      <c r="Z20">
        <v>1.07</v>
      </c>
      <c r="AA20">
        <v>1.39</v>
      </c>
      <c r="AB20">
        <v>2.4300000000000002</v>
      </c>
      <c r="AC20">
        <v>0.56999999999999995</v>
      </c>
      <c r="AD20">
        <v>2.3456631246093318</v>
      </c>
      <c r="AE20" s="56">
        <v>44.082682008973798</v>
      </c>
      <c r="AF20" s="54">
        <v>0.80615227160520531</v>
      </c>
      <c r="AG20">
        <v>1.6339332745021582</v>
      </c>
      <c r="AH20">
        <v>1.6860467031971293</v>
      </c>
      <c r="AK20" s="60"/>
    </row>
    <row r="21" spans="1:40">
      <c r="A21" s="20">
        <v>18</v>
      </c>
      <c r="B21" s="20">
        <v>54</v>
      </c>
      <c r="C21" s="20" t="s">
        <v>69</v>
      </c>
      <c r="D21" s="59" t="s">
        <v>130</v>
      </c>
      <c r="E21" s="20"/>
      <c r="F21" s="57"/>
      <c r="G21" s="57"/>
      <c r="H21" s="20">
        <v>0.72077791764727339</v>
      </c>
      <c r="I21" s="20">
        <v>1.3671004587585434</v>
      </c>
      <c r="J21" s="20">
        <v>0.60436288737009647</v>
      </c>
      <c r="K21" s="20">
        <v>0.55601624906840774</v>
      </c>
      <c r="L21" s="20">
        <v>1.0058338493628394</v>
      </c>
      <c r="M21" s="20">
        <v>0.61351889394188452</v>
      </c>
      <c r="N21">
        <v>1.9138731654408028</v>
      </c>
      <c r="O21">
        <v>1.2641332080032228</v>
      </c>
      <c r="P21">
        <v>1.7017882220765848</v>
      </c>
      <c r="Q21" s="54">
        <v>0.55924160323165639</v>
      </c>
      <c r="R21">
        <v>0.90223308045090223</v>
      </c>
      <c r="S21">
        <v>0.82781009975567277</v>
      </c>
      <c r="U21" s="20">
        <v>0.99</v>
      </c>
      <c r="V21" s="58">
        <v>0.99</v>
      </c>
      <c r="W21">
        <v>1.94</v>
      </c>
      <c r="X21">
        <v>0.7</v>
      </c>
      <c r="Y21">
        <v>0.25</v>
      </c>
      <c r="Z21">
        <v>0.93</v>
      </c>
      <c r="AA21">
        <v>0.37</v>
      </c>
      <c r="AB21">
        <v>1.49</v>
      </c>
      <c r="AC21">
        <v>0.44</v>
      </c>
      <c r="AD21">
        <v>1.8638452770526157</v>
      </c>
      <c r="AE21" s="56">
        <v>40.119894340715007</v>
      </c>
      <c r="AF21" s="54">
        <v>0.73155525764799567</v>
      </c>
      <c r="AG21">
        <v>1.3226753134812321</v>
      </c>
      <c r="AH21">
        <v>0.98849718772550099</v>
      </c>
      <c r="AK21" s="60"/>
    </row>
    <row r="22" spans="1:40">
      <c r="A22" s="20">
        <v>19</v>
      </c>
      <c r="B22" s="20">
        <v>57</v>
      </c>
      <c r="C22" s="20" t="s">
        <v>69</v>
      </c>
      <c r="D22" s="59" t="s">
        <v>130</v>
      </c>
      <c r="E22" s="20"/>
      <c r="F22" s="57"/>
      <c r="G22" s="57"/>
      <c r="H22" s="20">
        <v>0.84242789119369499</v>
      </c>
      <c r="I22" s="20">
        <v>1.3880722778766035</v>
      </c>
      <c r="J22" s="20">
        <v>0.59758449583372342</v>
      </c>
      <c r="K22" s="20">
        <v>0.43494599389085414</v>
      </c>
      <c r="L22" s="20">
        <v>1.0022813936055797</v>
      </c>
      <c r="M22" s="20">
        <v>0.32250287655470938</v>
      </c>
      <c r="N22">
        <v>2.69030268108328</v>
      </c>
      <c r="O22">
        <v>1.2080032227742716</v>
      </c>
      <c r="P22">
        <v>2.0319820241550421</v>
      </c>
      <c r="Q22" s="54">
        <v>0.38875435719792811</v>
      </c>
      <c r="R22">
        <v>0.69292643550069299</v>
      </c>
      <c r="S22">
        <v>0.73568121380650919</v>
      </c>
      <c r="U22" s="20">
        <v>0.73</v>
      </c>
      <c r="V22" s="58">
        <v>0.73</v>
      </c>
      <c r="W22">
        <v>2.35</v>
      </c>
      <c r="X22">
        <v>0.81</v>
      </c>
      <c r="Y22">
        <v>0.35</v>
      </c>
      <c r="Z22">
        <v>1.24</v>
      </c>
      <c r="AA22">
        <v>0.56999999999999995</v>
      </c>
      <c r="AB22">
        <v>2.08</v>
      </c>
      <c r="AC22">
        <v>0.39</v>
      </c>
      <c r="AD22">
        <v>1.4432841857557817</v>
      </c>
      <c r="AE22" s="56">
        <v>39.680167173252279</v>
      </c>
      <c r="AF22" s="54">
        <v>0.57515378877152779</v>
      </c>
      <c r="AG22">
        <v>1.0240728959303877</v>
      </c>
      <c r="AH22">
        <v>0.88470498301432332</v>
      </c>
      <c r="AK22" s="60"/>
    </row>
    <row r="23" spans="1:40">
      <c r="A23" s="20">
        <v>20</v>
      </c>
      <c r="B23" s="20">
        <v>60</v>
      </c>
      <c r="C23" s="20" t="s">
        <v>69</v>
      </c>
      <c r="D23" s="59" t="s">
        <v>130</v>
      </c>
      <c r="E23" s="20"/>
      <c r="F23" s="57"/>
      <c r="G23" s="57"/>
      <c r="H23" s="20">
        <v>0.65061208107565727</v>
      </c>
      <c r="I23" s="20">
        <v>0.98327871922104682</v>
      </c>
      <c r="J23" s="20">
        <v>0.50796741878101315</v>
      </c>
      <c r="K23" s="20">
        <v>0.37209107036014571</v>
      </c>
      <c r="L23" s="20">
        <v>1.0135579962845875</v>
      </c>
      <c r="M23" s="20">
        <v>0.29192920935839134</v>
      </c>
      <c r="N23">
        <v>2.2874283971121585</v>
      </c>
      <c r="O23">
        <v>1.2656294960578565</v>
      </c>
      <c r="P23">
        <v>1.5338264207471211</v>
      </c>
      <c r="Q23" s="54">
        <v>0.45933824886794294</v>
      </c>
      <c r="R23">
        <v>0.61327561327561342</v>
      </c>
      <c r="S23">
        <v>0.65367638125835237</v>
      </c>
      <c r="U23" s="20">
        <v>0.79</v>
      </c>
      <c r="V23" s="58">
        <v>0.79</v>
      </c>
      <c r="W23">
        <v>1.91</v>
      </c>
      <c r="X23">
        <v>0.63</v>
      </c>
      <c r="Y23">
        <v>0.19</v>
      </c>
      <c r="Z23">
        <v>0.79</v>
      </c>
      <c r="AA23">
        <v>0.6</v>
      </c>
      <c r="AB23">
        <v>1.59</v>
      </c>
      <c r="AC23">
        <v>0.3</v>
      </c>
      <c r="AD23">
        <v>1.3923226826488215</v>
      </c>
      <c r="AE23" s="56">
        <v>37.497506875090465</v>
      </c>
      <c r="AF23" s="54">
        <v>0.55569369817399494</v>
      </c>
      <c r="AG23">
        <v>0.74188848071910851</v>
      </c>
      <c r="AH23">
        <v>0.88931796989037559</v>
      </c>
      <c r="AK23" s="60"/>
    </row>
    <row r="24" spans="1:40">
      <c r="A24" s="20">
        <v>21</v>
      </c>
      <c r="B24" s="20">
        <v>63</v>
      </c>
      <c r="C24" s="20" t="s">
        <v>71</v>
      </c>
      <c r="D24" s="59" t="s">
        <v>132</v>
      </c>
      <c r="E24" s="59" t="s">
        <v>133</v>
      </c>
      <c r="F24" s="57"/>
      <c r="G24" s="57"/>
      <c r="H24" s="20">
        <v>0.88964296790907271</v>
      </c>
      <c r="I24" s="20">
        <v>1.1012077520831385</v>
      </c>
      <c r="J24" s="20">
        <v>0.59061885591236785</v>
      </c>
      <c r="K24" s="20">
        <v>0.37034859920014279</v>
      </c>
      <c r="L24" s="20">
        <v>1.1174265880129062</v>
      </c>
      <c r="M24" s="20">
        <v>0.29145434953335891</v>
      </c>
      <c r="N24">
        <v>2.1227332813612176</v>
      </c>
      <c r="O24">
        <v>1.2724587082046463</v>
      </c>
      <c r="P24">
        <v>1.7668383110195678</v>
      </c>
      <c r="Q24" s="54">
        <v>0.33880268001607144</v>
      </c>
      <c r="R24">
        <v>0.55648421985055652</v>
      </c>
      <c r="S24">
        <v>0.6600882817456567</v>
      </c>
      <c r="U24" s="20">
        <v>0.63</v>
      </c>
      <c r="V24" s="58">
        <v>0.63</v>
      </c>
      <c r="W24">
        <v>2.06</v>
      </c>
      <c r="X24">
        <v>0.7</v>
      </c>
      <c r="Y24">
        <v>0.26</v>
      </c>
      <c r="Z24">
        <v>0.9</v>
      </c>
      <c r="AA24">
        <v>0.76</v>
      </c>
      <c r="AB24">
        <v>1.79</v>
      </c>
      <c r="AC24">
        <v>0.38</v>
      </c>
      <c r="AD24">
        <v>1.0480935397286462</v>
      </c>
      <c r="AE24" s="56">
        <v>39.733087277464179</v>
      </c>
      <c r="AF24" s="54">
        <v>0.37478693002655944</v>
      </c>
      <c r="AG24">
        <v>0.82363645070152747</v>
      </c>
      <c r="AH24">
        <v>0.89491945395415362</v>
      </c>
      <c r="AK24" s="60"/>
    </row>
    <row r="25" spans="1:40">
      <c r="A25" s="20">
        <v>22</v>
      </c>
      <c r="B25" s="20">
        <v>66</v>
      </c>
      <c r="C25" s="20" t="s">
        <v>71</v>
      </c>
      <c r="D25" s="59" t="s">
        <v>132</v>
      </c>
      <c r="E25" s="59" t="s">
        <v>133</v>
      </c>
      <c r="F25" s="57"/>
      <c r="G25" s="57"/>
      <c r="H25" s="20">
        <v>1.094411909583493</v>
      </c>
      <c r="I25" s="20">
        <v>1.7199887650969012</v>
      </c>
      <c r="J25" s="20">
        <v>0.68356895421776998</v>
      </c>
      <c r="K25" s="20">
        <v>0.44370033694773642</v>
      </c>
      <c r="L25" s="20">
        <v>1.2329628784669036</v>
      </c>
      <c r="M25" s="20">
        <v>0.33327854181506034</v>
      </c>
      <c r="N25">
        <v>2.3945022540080672</v>
      </c>
      <c r="O25">
        <v>0.99925185597268318</v>
      </c>
      <c r="P25">
        <v>2.4745997565770996</v>
      </c>
      <c r="Q25" s="54">
        <v>0.59724831413089507</v>
      </c>
      <c r="R25">
        <v>0.88080236595088091</v>
      </c>
      <c r="S25">
        <v>0.79676300265925137</v>
      </c>
      <c r="U25" s="20">
        <v>0.98</v>
      </c>
      <c r="V25" s="58">
        <v>0.98</v>
      </c>
      <c r="W25">
        <v>1.98</v>
      </c>
      <c r="X25">
        <v>0.89</v>
      </c>
      <c r="Y25">
        <v>0.28999999999999998</v>
      </c>
      <c r="Z25">
        <v>1.03</v>
      </c>
      <c r="AA25">
        <v>1.39</v>
      </c>
      <c r="AB25">
        <v>2.25</v>
      </c>
      <c r="AC25">
        <v>0.43</v>
      </c>
      <c r="AD25">
        <v>1.989704746847079</v>
      </c>
      <c r="AE25" s="56">
        <v>42.618653205963234</v>
      </c>
      <c r="AF25" s="54">
        <v>0.47424961530283866</v>
      </c>
      <c r="AG25">
        <v>1.0179161450530507</v>
      </c>
      <c r="AH25">
        <v>1.2016830812116339</v>
      </c>
      <c r="AK25" s="60"/>
    </row>
    <row r="26" spans="1:40">
      <c r="A26" s="20">
        <v>23</v>
      </c>
      <c r="B26" s="20">
        <v>69</v>
      </c>
      <c r="C26" s="20" t="s">
        <v>71</v>
      </c>
      <c r="D26" s="59" t="s">
        <v>132</v>
      </c>
      <c r="E26" s="59" t="s">
        <v>133</v>
      </c>
      <c r="F26" s="57"/>
      <c r="G26" s="57"/>
      <c r="H26" s="20">
        <v>10.676664294966523</v>
      </c>
      <c r="I26" s="20">
        <v>7.826982492276005</v>
      </c>
      <c r="J26" s="20">
        <v>3.473607340136692</v>
      </c>
      <c r="K26" s="20">
        <v>2.8806197319113651</v>
      </c>
      <c r="L26" s="20">
        <v>2.7444839161750805</v>
      </c>
      <c r="M26" s="20">
        <v>2.1484850145197525</v>
      </c>
      <c r="N26">
        <v>7.2331627292139791</v>
      </c>
      <c r="O26">
        <v>2.8877208463619097</v>
      </c>
      <c r="P26">
        <v>8.1305870236869229</v>
      </c>
      <c r="Q26" s="54">
        <v>3.3445905591330125</v>
      </c>
      <c r="R26">
        <v>3.9411083965539411</v>
      </c>
      <c r="S26">
        <v>3.5474683117128549</v>
      </c>
      <c r="U26" s="20">
        <v>2.96</v>
      </c>
      <c r="V26" s="58">
        <v>2.96</v>
      </c>
      <c r="W26">
        <v>7.17</v>
      </c>
      <c r="X26">
        <v>2.99</v>
      </c>
      <c r="Y26">
        <v>1.59</v>
      </c>
      <c r="Z26">
        <v>4.34</v>
      </c>
      <c r="AA26">
        <v>5.52</v>
      </c>
      <c r="AB26">
        <v>7.94</v>
      </c>
      <c r="AC26">
        <v>1.61</v>
      </c>
      <c r="AD26">
        <v>7.3661433246313921</v>
      </c>
      <c r="AE26" s="56">
        <v>39.12929874077291</v>
      </c>
      <c r="AF26" s="54">
        <v>0.81263896847104955</v>
      </c>
      <c r="AG26">
        <v>4.78653176541411</v>
      </c>
      <c r="AH26">
        <v>1.9358069926291062</v>
      </c>
      <c r="AK26" s="60"/>
    </row>
    <row r="27" spans="1:40">
      <c r="A27" s="20">
        <v>24</v>
      </c>
      <c r="B27" s="20">
        <v>72</v>
      </c>
      <c r="C27" s="20" t="s">
        <v>69</v>
      </c>
      <c r="D27" s="59" t="s">
        <v>132</v>
      </c>
      <c r="E27" s="59" t="s">
        <v>133</v>
      </c>
      <c r="F27" s="57"/>
      <c r="G27" s="57"/>
      <c r="H27" s="20">
        <v>6.9603926075930902</v>
      </c>
      <c r="I27" s="20">
        <v>7.7558281059825864</v>
      </c>
      <c r="J27" s="20">
        <v>3.7697593858252976</v>
      </c>
      <c r="K27" s="20">
        <v>1.9744507541961014</v>
      </c>
      <c r="L27" s="20">
        <v>2.4426555421568947</v>
      </c>
      <c r="M27" s="20">
        <v>2.3211148247584612</v>
      </c>
      <c r="N27">
        <v>6.1892010981934051</v>
      </c>
      <c r="O27">
        <v>2.4273245218592341</v>
      </c>
      <c r="P27">
        <v>6.1708828761351944</v>
      </c>
      <c r="Q27" s="54">
        <v>2.9080563368046133</v>
      </c>
      <c r="R27">
        <v>3.9443230037289445</v>
      </c>
      <c r="S27">
        <v>3.2305854402613359</v>
      </c>
      <c r="U27" s="20">
        <v>2.67</v>
      </c>
      <c r="V27" s="58">
        <v>2.67</v>
      </c>
      <c r="W27">
        <v>6</v>
      </c>
      <c r="X27">
        <v>2.85</v>
      </c>
      <c r="Y27">
        <v>1.1200000000000001</v>
      </c>
      <c r="Z27">
        <v>3.28</v>
      </c>
      <c r="AA27">
        <v>4.88</v>
      </c>
      <c r="AB27">
        <v>5.84</v>
      </c>
      <c r="AC27">
        <v>1.58</v>
      </c>
      <c r="AD27">
        <v>6.0112512409456924</v>
      </c>
      <c r="AE27" s="56">
        <v>35.805999421045016</v>
      </c>
      <c r="AF27" s="54">
        <v>1.3196824401512122</v>
      </c>
      <c r="AG27">
        <v>3.596910679226438</v>
      </c>
      <c r="AH27">
        <v>1.7252570916435743</v>
      </c>
      <c r="AK27" s="60"/>
    </row>
    <row r="28" spans="1:40">
      <c r="A28" s="20">
        <v>25</v>
      </c>
      <c r="B28" s="20">
        <v>75</v>
      </c>
      <c r="C28" s="20" t="s">
        <v>69</v>
      </c>
      <c r="D28" s="59" t="s">
        <v>132</v>
      </c>
      <c r="E28" s="59" t="s">
        <v>133</v>
      </c>
      <c r="F28" s="57"/>
      <c r="G28" s="57"/>
      <c r="H28" s="20">
        <v>6.5455275208435957</v>
      </c>
      <c r="I28" s="20">
        <v>6.1080423181350056</v>
      </c>
      <c r="J28" s="20">
        <v>3.5661829416721287</v>
      </c>
      <c r="K28" s="20">
        <v>1.9352136626533847</v>
      </c>
      <c r="L28" s="20">
        <v>2.0241175895446992</v>
      </c>
      <c r="M28" s="20">
        <v>1.5516592698116998</v>
      </c>
      <c r="N28">
        <v>8.19916618648951</v>
      </c>
      <c r="O28">
        <v>2.4274396209403597</v>
      </c>
      <c r="P28">
        <v>5.3846643572699184</v>
      </c>
      <c r="Q28" s="54">
        <v>3.0151990646729434</v>
      </c>
      <c r="R28">
        <v>3.367836783678368</v>
      </c>
      <c r="S28">
        <v>2.3136836705768009</v>
      </c>
      <c r="U28" s="20">
        <v>2.16</v>
      </c>
      <c r="V28" s="58">
        <v>2.16</v>
      </c>
      <c r="W28">
        <v>5.09</v>
      </c>
      <c r="X28">
        <v>2.2999999999999998</v>
      </c>
      <c r="Y28">
        <v>0.8</v>
      </c>
      <c r="Z28">
        <v>2.2599999999999998</v>
      </c>
      <c r="AA28">
        <v>3.43</v>
      </c>
      <c r="AB28">
        <v>6.36</v>
      </c>
      <c r="AC28">
        <v>1.49</v>
      </c>
      <c r="AD28">
        <v>5.2840019119755857</v>
      </c>
      <c r="AE28" s="56">
        <v>38.796135475466784</v>
      </c>
      <c r="AF28" s="54">
        <v>1.5009495803467501</v>
      </c>
      <c r="AG28">
        <v>3.7491192425828257</v>
      </c>
      <c r="AH28">
        <v>2.1061580079804676</v>
      </c>
      <c r="AK28" s="60"/>
    </row>
    <row r="29" spans="1:40">
      <c r="A29" s="20">
        <v>26</v>
      </c>
      <c r="B29" s="20">
        <v>78</v>
      </c>
      <c r="C29" s="20" t="s">
        <v>69</v>
      </c>
      <c r="D29" s="59" t="s">
        <v>132</v>
      </c>
      <c r="E29" s="59" t="s">
        <v>133</v>
      </c>
      <c r="F29" s="57"/>
      <c r="G29" s="57"/>
      <c r="H29" s="20">
        <v>3.2043128454928578</v>
      </c>
      <c r="I29" s="20">
        <v>4.1269544050182567</v>
      </c>
      <c r="J29" s="20">
        <v>3.2907031176856103</v>
      </c>
      <c r="K29" s="20">
        <v>1.1613465313277422</v>
      </c>
      <c r="L29" s="20">
        <v>1.571489098197699</v>
      </c>
      <c r="M29" s="20">
        <v>1.2834365240260808</v>
      </c>
      <c r="N29">
        <v>4.8503542012676686</v>
      </c>
      <c r="O29">
        <v>2.100941894147212</v>
      </c>
      <c r="P29">
        <v>3.2935118434603501</v>
      </c>
      <c r="Q29" s="54">
        <v>2.1312715597592184</v>
      </c>
      <c r="R29">
        <v>2.902790279027903</v>
      </c>
      <c r="S29">
        <v>2.7189832750637817</v>
      </c>
      <c r="U29" s="20">
        <v>1.4</v>
      </c>
      <c r="V29" s="58">
        <v>1.4</v>
      </c>
      <c r="W29">
        <v>3.83</v>
      </c>
      <c r="X29">
        <v>2.34</v>
      </c>
      <c r="Y29">
        <v>0.48</v>
      </c>
      <c r="Z29">
        <v>2</v>
      </c>
      <c r="AA29">
        <v>3.51</v>
      </c>
      <c r="AB29">
        <v>5.31</v>
      </c>
      <c r="AC29">
        <v>1.5</v>
      </c>
      <c r="AD29">
        <v>2.7841306026399968</v>
      </c>
      <c r="AE29" s="56">
        <v>46.73433564915328</v>
      </c>
      <c r="AF29" s="54">
        <v>1.4350014955439998</v>
      </c>
      <c r="AG29">
        <v>3.3099376799994524</v>
      </c>
      <c r="AH29">
        <v>2.9009097469117702</v>
      </c>
      <c r="AK29" s="60"/>
    </row>
    <row r="30" spans="1:40">
      <c r="A30" s="20">
        <v>27</v>
      </c>
      <c r="B30" s="20">
        <v>81</v>
      </c>
      <c r="C30" s="20" t="s">
        <v>69</v>
      </c>
      <c r="D30" s="59" t="s">
        <v>132</v>
      </c>
      <c r="E30" s="59" t="s">
        <v>133</v>
      </c>
      <c r="F30" s="57"/>
      <c r="G30" s="57"/>
      <c r="H30" s="20">
        <v>1.6740919125025087</v>
      </c>
      <c r="I30" s="20">
        <v>2.4310832319071247</v>
      </c>
      <c r="J30" s="20">
        <v>2.2563430390412886</v>
      </c>
      <c r="K30" s="20">
        <v>0.79654025003411466</v>
      </c>
      <c r="L30" s="20">
        <v>1.2580907994655022</v>
      </c>
      <c r="M30" s="20">
        <v>0.6514346245867807</v>
      </c>
      <c r="N30">
        <v>3.6369182794970007</v>
      </c>
      <c r="O30">
        <v>1.5570220031076751</v>
      </c>
      <c r="P30">
        <v>2.2378054489280035</v>
      </c>
      <c r="Q30" s="54">
        <v>1.2661664259574976</v>
      </c>
      <c r="R30">
        <v>1.7526752675267527</v>
      </c>
      <c r="S30">
        <v>1.4953226873287349</v>
      </c>
      <c r="U30" s="20">
        <v>1.19</v>
      </c>
      <c r="V30" s="58">
        <v>1.19</v>
      </c>
      <c r="W30">
        <v>2.36</v>
      </c>
      <c r="X30">
        <v>1.42</v>
      </c>
      <c r="Y30">
        <v>0.33</v>
      </c>
      <c r="Z30">
        <v>1.05</v>
      </c>
      <c r="AA30">
        <v>2.15</v>
      </c>
      <c r="AB30">
        <v>2.7</v>
      </c>
      <c r="AC30">
        <v>0.76</v>
      </c>
      <c r="AD30">
        <v>2.9924991727028711</v>
      </c>
      <c r="AE30" s="56">
        <v>47.612740628166158</v>
      </c>
      <c r="AF30" s="54">
        <v>1.1434605086291088</v>
      </c>
      <c r="AG30">
        <v>1.9824737825025138</v>
      </c>
      <c r="AH30">
        <v>1.740084549459457</v>
      </c>
      <c r="AK30" s="60"/>
    </row>
    <row r="31" spans="1:40">
      <c r="A31" s="20">
        <v>28</v>
      </c>
      <c r="B31" s="20">
        <v>84</v>
      </c>
      <c r="C31" s="20" t="s">
        <v>69</v>
      </c>
      <c r="D31" s="59" t="s">
        <v>132</v>
      </c>
      <c r="E31" s="59" t="s">
        <v>133</v>
      </c>
      <c r="F31" s="57"/>
      <c r="G31" s="57"/>
      <c r="H31" s="20">
        <v>0.73960556802218458</v>
      </c>
      <c r="I31" s="20">
        <v>1.3842149611459602</v>
      </c>
      <c r="J31" s="20">
        <v>1.1102705739163001</v>
      </c>
      <c r="K31" s="20">
        <v>0.44540082085087179</v>
      </c>
      <c r="L31" s="20">
        <v>1.2344294886419189</v>
      </c>
      <c r="M31" s="20">
        <v>3.2098332511460561</v>
      </c>
      <c r="N31">
        <v>2.4287699555977365</v>
      </c>
      <c r="O31">
        <v>1.2900688676168737</v>
      </c>
      <c r="P31">
        <v>1.5894391910869772</v>
      </c>
      <c r="Q31" s="54">
        <v>0.99396598218390186</v>
      </c>
      <c r="R31">
        <v>1.1065392253511066</v>
      </c>
      <c r="S31">
        <v>0.80418730848665654</v>
      </c>
      <c r="U31" s="20">
        <v>0.94</v>
      </c>
      <c r="V31" s="58">
        <v>0.94</v>
      </c>
      <c r="W31">
        <v>1.69</v>
      </c>
      <c r="X31">
        <v>0.66</v>
      </c>
      <c r="Y31">
        <v>0.16</v>
      </c>
      <c r="Z31">
        <v>0.79</v>
      </c>
      <c r="AA31">
        <v>0.46</v>
      </c>
      <c r="AB31">
        <v>1.73</v>
      </c>
      <c r="AC31">
        <v>0.68</v>
      </c>
      <c r="AD31">
        <v>2.2121925212339595</v>
      </c>
      <c r="AE31" s="56">
        <v>54.068070632508316</v>
      </c>
      <c r="AF31" s="54">
        <v>0.78272808847854536</v>
      </c>
      <c r="AG31">
        <v>1.1150559922288121</v>
      </c>
      <c r="AH31">
        <v>1.1084348465028617</v>
      </c>
      <c r="AK31" s="60"/>
    </row>
    <row r="32" spans="1:40">
      <c r="A32" s="20">
        <v>29</v>
      </c>
      <c r="B32" s="20">
        <v>87</v>
      </c>
      <c r="C32" s="20" t="s">
        <v>69</v>
      </c>
      <c r="D32" s="59" t="s">
        <v>132</v>
      </c>
      <c r="E32" s="59" t="s">
        <v>133</v>
      </c>
      <c r="F32" s="57"/>
      <c r="G32" s="57"/>
      <c r="H32" s="20">
        <v>0.90646379508510755</v>
      </c>
      <c r="I32" s="20">
        <v>1.4161969853010019</v>
      </c>
      <c r="J32" s="20">
        <v>1.1537870985862748</v>
      </c>
      <c r="K32" s="20">
        <v>0.45805997879643534</v>
      </c>
      <c r="L32" s="20">
        <v>1.2585796695238407</v>
      </c>
      <c r="M32" s="20">
        <v>0.33028327214947129</v>
      </c>
      <c r="N32">
        <v>2.7276548147646005</v>
      </c>
      <c r="O32">
        <v>1.0859981967810624</v>
      </c>
      <c r="P32">
        <v>1.5133414474300162</v>
      </c>
      <c r="Q32" s="54">
        <v>0.78185233849862634</v>
      </c>
      <c r="R32">
        <v>0.81293843670081289</v>
      </c>
      <c r="S32">
        <v>0.67257461427356546</v>
      </c>
      <c r="U32" s="20">
        <v>0.79</v>
      </c>
      <c r="V32" s="58">
        <v>0.79</v>
      </c>
      <c r="W32">
        <v>2.0099999999999998</v>
      </c>
      <c r="X32">
        <v>0.69</v>
      </c>
      <c r="Y32">
        <v>0.23</v>
      </c>
      <c r="Z32">
        <v>1.1100000000000001</v>
      </c>
      <c r="AA32">
        <v>0.37</v>
      </c>
      <c r="AB32">
        <v>2.3199999999999998</v>
      </c>
      <c r="AC32">
        <v>0.59</v>
      </c>
      <c r="AD32">
        <v>1.5514578813839759</v>
      </c>
      <c r="AE32" s="56">
        <v>49.289947894051238</v>
      </c>
      <c r="AF32" s="54">
        <v>0.47208738301422393</v>
      </c>
      <c r="AG32">
        <v>0.70871043432457026</v>
      </c>
      <c r="AH32">
        <v>1.0494545143019069</v>
      </c>
      <c r="AK32" s="60"/>
    </row>
    <row r="33" spans="1:37">
      <c r="A33" s="20">
        <v>30</v>
      </c>
      <c r="B33" s="20">
        <v>90</v>
      </c>
      <c r="C33" s="20" t="s">
        <v>69</v>
      </c>
      <c r="D33" s="59" t="s">
        <v>132</v>
      </c>
      <c r="E33" s="59" t="s">
        <v>133</v>
      </c>
      <c r="F33" s="61" t="s">
        <v>134</v>
      </c>
      <c r="G33" s="57"/>
      <c r="H33" s="20">
        <v>0.83020451352781277</v>
      </c>
      <c r="I33" s="20">
        <v>1.0669787473083043</v>
      </c>
      <c r="J33" s="20">
        <v>0.91864057672502575</v>
      </c>
      <c r="K33" s="20">
        <v>0.2782285576327585</v>
      </c>
      <c r="L33" s="20">
        <v>1.2607306977805299</v>
      </c>
      <c r="M33" s="20">
        <v>0.33868463828466022</v>
      </c>
      <c r="N33">
        <v>1.9763752838694368</v>
      </c>
      <c r="O33">
        <v>1.226112144871377</v>
      </c>
      <c r="P33">
        <v>1.118584402209531</v>
      </c>
      <c r="Q33" s="54">
        <v>0.61824249729428415</v>
      </c>
      <c r="R33">
        <v>0.70364179275070371</v>
      </c>
      <c r="S33">
        <v>0.57403382783709722</v>
      </c>
      <c r="U33" s="20">
        <v>0.87</v>
      </c>
      <c r="V33" s="58">
        <v>0.87</v>
      </c>
      <c r="W33">
        <v>1.56</v>
      </c>
      <c r="X33">
        <v>0.55000000000000004</v>
      </c>
      <c r="Y33">
        <v>0.13</v>
      </c>
      <c r="Z33">
        <v>0.65</v>
      </c>
      <c r="AA33">
        <v>0.34</v>
      </c>
      <c r="AB33">
        <v>1.46</v>
      </c>
      <c r="AC33">
        <v>0.56999999999999995</v>
      </c>
      <c r="AD33">
        <v>1.505349854763393</v>
      </c>
      <c r="AE33" s="56">
        <v>45.039683745838758</v>
      </c>
      <c r="AF33" s="54">
        <v>0.38415660327722345</v>
      </c>
      <c r="AG33">
        <v>0.54350428578269405</v>
      </c>
      <c r="AH33">
        <v>1.0491250152393319</v>
      </c>
      <c r="AK33" s="60"/>
    </row>
    <row r="34" spans="1:37">
      <c r="A34" s="20">
        <v>31</v>
      </c>
      <c r="B34" s="20">
        <v>93</v>
      </c>
      <c r="C34" s="20" t="s">
        <v>72</v>
      </c>
      <c r="D34" s="20"/>
      <c r="E34" s="20"/>
      <c r="F34" s="61" t="s">
        <v>134</v>
      </c>
      <c r="G34" s="57"/>
      <c r="H34" s="20">
        <v>0.92532793315454365</v>
      </c>
      <c r="I34" s="20">
        <v>1.3129107761445558</v>
      </c>
      <c r="J34" s="20">
        <v>0.92987547982398666</v>
      </c>
      <c r="K34" s="20">
        <v>0.33085958411622074</v>
      </c>
      <c r="L34" s="20">
        <v>1.4177883518560768</v>
      </c>
      <c r="M34" s="20">
        <v>0.29328073347579126</v>
      </c>
      <c r="N34">
        <v>1.9628173406094294</v>
      </c>
      <c r="O34">
        <v>1.2234648660054863</v>
      </c>
      <c r="P34">
        <v>1.4285179290328622</v>
      </c>
      <c r="Q34" s="54">
        <v>0.43798209702932311</v>
      </c>
      <c r="R34">
        <v>0.77150572200077161</v>
      </c>
      <c r="S34">
        <v>0.54163685695387476</v>
      </c>
      <c r="U34" s="20">
        <v>0.78</v>
      </c>
      <c r="V34" s="58">
        <v>0.78</v>
      </c>
      <c r="W34">
        <v>1.79</v>
      </c>
      <c r="X34">
        <v>0.64</v>
      </c>
      <c r="Y34">
        <v>0.2</v>
      </c>
      <c r="Z34">
        <v>0.97</v>
      </c>
      <c r="AA34">
        <v>0.44</v>
      </c>
      <c r="AB34">
        <v>2.12</v>
      </c>
      <c r="AC34">
        <v>0.52</v>
      </c>
      <c r="AD34">
        <v>1.201713424274736</v>
      </c>
      <c r="AE34" s="56">
        <v>46.145118685772182</v>
      </c>
      <c r="AF34" s="54">
        <v>0.3751473020746619</v>
      </c>
      <c r="AG34">
        <v>0.52879649202016676</v>
      </c>
      <c r="AH34">
        <v>0.85636806363285911</v>
      </c>
      <c r="AK34" s="60"/>
    </row>
    <row r="35" spans="1:37">
      <c r="A35" s="20">
        <v>32</v>
      </c>
      <c r="B35" s="20">
        <v>96</v>
      </c>
      <c r="C35" s="20" t="s">
        <v>72</v>
      </c>
      <c r="D35" s="20"/>
      <c r="E35" s="20"/>
      <c r="F35" s="61" t="s">
        <v>134</v>
      </c>
      <c r="G35" s="57"/>
      <c r="H35" s="20">
        <v>0.74124751427581037</v>
      </c>
      <c r="I35" s="20">
        <v>1.248984177511469</v>
      </c>
      <c r="J35" s="20">
        <v>0.68334425615579075</v>
      </c>
      <c r="K35" s="20">
        <v>0.25796970619417009</v>
      </c>
      <c r="L35" s="20">
        <v>0.86220382622298997</v>
      </c>
      <c r="M35" s="20">
        <v>0.28162840392307276</v>
      </c>
      <c r="N35">
        <v>1.6750838897739215</v>
      </c>
      <c r="O35">
        <v>0.69347196378215581</v>
      </c>
      <c r="P35">
        <v>1.0117030240614175</v>
      </c>
      <c r="Q35" s="54">
        <v>0.2486724798835909</v>
      </c>
      <c r="R35">
        <v>0.58005800580058009</v>
      </c>
      <c r="S35">
        <v>0.34725503165454025</v>
      </c>
      <c r="U35" s="20">
        <v>0.74</v>
      </c>
      <c r="V35" s="58">
        <v>0.74</v>
      </c>
      <c r="W35">
        <v>1.36</v>
      </c>
      <c r="X35">
        <v>0.64</v>
      </c>
      <c r="Y35">
        <v>0.13</v>
      </c>
      <c r="Z35">
        <v>0.62</v>
      </c>
      <c r="AA35">
        <v>0.38</v>
      </c>
      <c r="AB35">
        <v>1.57</v>
      </c>
      <c r="AC35">
        <v>0.51</v>
      </c>
      <c r="AD35">
        <v>1.4726256572416074</v>
      </c>
      <c r="AE35" s="56">
        <v>57.120777247069043</v>
      </c>
      <c r="AF35" s="54">
        <v>0.27640536089458762</v>
      </c>
      <c r="AG35">
        <v>0.40531943275801913</v>
      </c>
      <c r="AH35">
        <v>0.45767419791690694</v>
      </c>
      <c r="AK35" s="60"/>
    </row>
    <row r="36" spans="1:37">
      <c r="A36" s="20">
        <v>33</v>
      </c>
      <c r="B36" s="20">
        <v>99</v>
      </c>
      <c r="C36" s="20" t="s">
        <v>72</v>
      </c>
      <c r="D36" s="20"/>
      <c r="E36" s="20"/>
      <c r="F36" s="61" t="s">
        <v>134</v>
      </c>
      <c r="G36" s="57"/>
      <c r="H36" s="20">
        <v>0.27789028150256329</v>
      </c>
      <c r="I36" s="20">
        <v>0.35524763598913961</v>
      </c>
      <c r="J36" s="20">
        <v>0.28914895609025376</v>
      </c>
      <c r="K36" s="20">
        <v>0.10129425719294195</v>
      </c>
      <c r="L36" s="20">
        <v>0.29426718378255062</v>
      </c>
      <c r="M36" s="20">
        <v>0.21660913557248004</v>
      </c>
      <c r="N36">
        <v>1.4291427990373862</v>
      </c>
      <c r="O36">
        <v>0.20629591973757411</v>
      </c>
      <c r="P36">
        <v>0.49399868926130514</v>
      </c>
      <c r="Q36" s="54">
        <v>0.12451722427941085</v>
      </c>
      <c r="R36">
        <v>0.19501950195019505</v>
      </c>
      <c r="S36">
        <v>0.10933977673087565</v>
      </c>
      <c r="U36" s="20">
        <v>0.28999999999999998</v>
      </c>
      <c r="V36" s="58">
        <v>0.28999999999999998</v>
      </c>
      <c r="W36">
        <v>0.64</v>
      </c>
      <c r="X36">
        <v>0.34</v>
      </c>
      <c r="Y36">
        <v>0.05</v>
      </c>
      <c r="Z36">
        <v>0.19</v>
      </c>
      <c r="AA36">
        <v>0.08</v>
      </c>
      <c r="AB36">
        <v>0.59</v>
      </c>
      <c r="AC36">
        <v>0.35</v>
      </c>
      <c r="AD36">
        <v>0.5408684781409715</v>
      </c>
      <c r="AE36" s="56">
        <v>78.446186134028068</v>
      </c>
      <c r="AF36" s="54">
        <v>0.38343585918101852</v>
      </c>
      <c r="AG36">
        <v>0.16623227368809898</v>
      </c>
      <c r="AH36">
        <v>0.22801335130201553</v>
      </c>
      <c r="AK36" s="60"/>
    </row>
    <row r="37" spans="1:37">
      <c r="A37" s="20">
        <v>34</v>
      </c>
      <c r="B37" s="20">
        <v>102</v>
      </c>
      <c r="C37" s="20" t="s">
        <v>69</v>
      </c>
      <c r="D37" s="20"/>
      <c r="E37" s="20"/>
      <c r="F37" s="61" t="s">
        <v>134</v>
      </c>
      <c r="G37" s="57"/>
      <c r="H37" s="20">
        <v>0.2500136828854469</v>
      </c>
      <c r="I37" s="20">
        <v>0.19863308678962646</v>
      </c>
      <c r="J37" s="20">
        <v>0.22739443872296602</v>
      </c>
      <c r="K37" s="20">
        <v>4.1126518101756118E-2</v>
      </c>
      <c r="L37" s="20">
        <v>0.22517354887071014</v>
      </c>
      <c r="M37" s="20">
        <v>0.13807462604788778</v>
      </c>
      <c r="N37">
        <v>1.0121343592177068</v>
      </c>
      <c r="O37">
        <v>6.1539642041857703E-2</v>
      </c>
      <c r="P37">
        <v>0.35839340885684867</v>
      </c>
      <c r="Q37" s="54">
        <v>0.14080581466479891</v>
      </c>
      <c r="R37">
        <v>0.1092966439501093</v>
      </c>
      <c r="S37">
        <v>9.3478759735964687E-2</v>
      </c>
      <c r="U37" s="20">
        <v>0.25</v>
      </c>
      <c r="V37" s="58">
        <v>0.25</v>
      </c>
      <c r="W37">
        <v>0.55000000000000004</v>
      </c>
      <c r="X37">
        <v>0.22</v>
      </c>
      <c r="Y37">
        <v>0.04</v>
      </c>
      <c r="Z37">
        <v>0.12</v>
      </c>
      <c r="AA37">
        <v>0.05</v>
      </c>
      <c r="AB37">
        <v>0.61</v>
      </c>
      <c r="AC37">
        <v>0.37</v>
      </c>
      <c r="AD37">
        <v>0.62664999816156186</v>
      </c>
      <c r="AE37" s="56">
        <v>82.644894340715013</v>
      </c>
      <c r="AF37" s="54">
        <v>0.27784684908699747</v>
      </c>
      <c r="AG37">
        <v>7.5933260820489665E-2</v>
      </c>
      <c r="AH37">
        <v>0.35190499883027837</v>
      </c>
      <c r="AK37" s="60"/>
    </row>
    <row r="38" spans="1:37">
      <c r="A38" s="20">
        <v>35</v>
      </c>
      <c r="B38" s="20">
        <v>105</v>
      </c>
      <c r="C38" s="20" t="s">
        <v>69</v>
      </c>
      <c r="D38" s="20"/>
      <c r="E38" s="20"/>
      <c r="F38" s="61" t="s">
        <v>134</v>
      </c>
      <c r="G38" s="57"/>
      <c r="H38" s="20">
        <v>0.2968638826555744</v>
      </c>
      <c r="I38" s="20">
        <v>0.35431139406422624</v>
      </c>
      <c r="J38" s="20">
        <v>0.31779795899260371</v>
      </c>
      <c r="K38" s="20">
        <v>0.16954454323112936</v>
      </c>
      <c r="L38" s="20">
        <v>0.31959065280448457</v>
      </c>
      <c r="M38" s="20">
        <v>0.11944550983507754</v>
      </c>
      <c r="N38">
        <v>1.4339219740365388</v>
      </c>
      <c r="O38">
        <v>0.14648276391260143</v>
      </c>
      <c r="P38">
        <v>0.46857035858065732</v>
      </c>
      <c r="Q38" s="54">
        <v>8.6872482055402933E-2</v>
      </c>
      <c r="R38">
        <v>0.22537968082522541</v>
      </c>
      <c r="S38">
        <v>0.14207421606079831</v>
      </c>
      <c r="U38" s="20">
        <v>0.25</v>
      </c>
      <c r="V38" s="58">
        <v>0.25</v>
      </c>
      <c r="W38">
        <v>0.7</v>
      </c>
      <c r="X38">
        <v>0.52</v>
      </c>
      <c r="Y38">
        <v>0.04</v>
      </c>
      <c r="Z38">
        <v>0.17</v>
      </c>
      <c r="AA38">
        <v>0.04</v>
      </c>
      <c r="AB38">
        <v>0.36</v>
      </c>
      <c r="AC38">
        <v>0.56000000000000005</v>
      </c>
      <c r="AD38">
        <v>1.227672169724602</v>
      </c>
      <c r="AE38" s="56">
        <v>63.150691127514833</v>
      </c>
      <c r="AF38" s="54">
        <v>0.19099718549430433</v>
      </c>
      <c r="AG38">
        <v>8.0037761405381005E-2</v>
      </c>
      <c r="AH38">
        <v>0.341361028827873</v>
      </c>
      <c r="AK38" s="60"/>
    </row>
    <row r="39" spans="1:37">
      <c r="A39" s="20">
        <v>36</v>
      </c>
      <c r="B39" s="20">
        <v>108</v>
      </c>
      <c r="C39" s="20" t="s">
        <v>69</v>
      </c>
      <c r="D39" s="20"/>
      <c r="E39" s="20"/>
      <c r="F39" s="61" t="s">
        <v>134</v>
      </c>
      <c r="G39" s="57"/>
      <c r="H39" s="20">
        <v>0.26745480086840712</v>
      </c>
      <c r="I39" s="20">
        <v>0.6624473363917236</v>
      </c>
      <c r="J39" s="20">
        <v>0.75652092500702184</v>
      </c>
      <c r="K39" s="20">
        <v>8.7102564371713195E-2</v>
      </c>
      <c r="L39" s="20">
        <v>0.99045073819378826</v>
      </c>
      <c r="M39" s="20">
        <v>0.1291618724088178</v>
      </c>
      <c r="N39">
        <v>1.5083889773921297</v>
      </c>
      <c r="O39">
        <v>0.86355003932551944</v>
      </c>
      <c r="P39">
        <v>1.9691040164778579</v>
      </c>
      <c r="Q39" s="54">
        <v>0.1129342266720238</v>
      </c>
      <c r="R39">
        <v>0.28645721715028649</v>
      </c>
      <c r="S39">
        <v>1.0471645901108246</v>
      </c>
      <c r="U39" s="20">
        <v>0.84</v>
      </c>
      <c r="V39" s="58">
        <v>0.84</v>
      </c>
      <c r="W39">
        <v>0.87</v>
      </c>
      <c r="X39">
        <v>0.22</v>
      </c>
      <c r="Y39">
        <v>0.03</v>
      </c>
      <c r="Z39">
        <v>0.31</v>
      </c>
      <c r="AA39">
        <v>0.49</v>
      </c>
      <c r="AB39">
        <v>1.1000000000000001</v>
      </c>
      <c r="AC39">
        <v>0.42</v>
      </c>
      <c r="AD39">
        <v>0.90300400779497736</v>
      </c>
      <c r="AE39" s="56">
        <v>51.766246924301633</v>
      </c>
      <c r="AF39" s="54">
        <v>9.2615616362332467E-2</v>
      </c>
      <c r="AG39">
        <v>7.6617344251304884E-2</v>
      </c>
      <c r="AH39">
        <v>0.50907605167863301</v>
      </c>
      <c r="AK39" s="60"/>
    </row>
    <row r="40" spans="1:37">
      <c r="A40" s="20">
        <v>37</v>
      </c>
      <c r="B40" s="20">
        <v>111</v>
      </c>
      <c r="C40" s="20" t="s">
        <v>69</v>
      </c>
      <c r="D40" s="20"/>
      <c r="E40" s="20"/>
      <c r="F40" s="57"/>
      <c r="G40" s="57"/>
      <c r="H40" s="20">
        <v>0.93503365989819953</v>
      </c>
      <c r="I40" s="20">
        <v>1.5468214586649189</v>
      </c>
      <c r="J40" s="20">
        <v>0.89467278344724277</v>
      </c>
      <c r="K40" s="20">
        <v>0.3159541079282438</v>
      </c>
      <c r="L40" s="20">
        <v>1.4909559039207381</v>
      </c>
      <c r="M40" s="20">
        <v>0.14139864482311473</v>
      </c>
      <c r="N40">
        <v>1.9694607328068336</v>
      </c>
      <c r="O40">
        <v>1.2434153734006024</v>
      </c>
      <c r="P40">
        <v>1.3744405954498644</v>
      </c>
      <c r="Q40" s="54">
        <v>0.16216196650341883</v>
      </c>
      <c r="R40">
        <v>0.88401697312588412</v>
      </c>
      <c r="S40">
        <v>0.65738853417205478</v>
      </c>
      <c r="U40" s="20">
        <v>1.1100000000000001</v>
      </c>
      <c r="V40" s="58">
        <v>1.1100000000000001</v>
      </c>
      <c r="W40">
        <v>1.4</v>
      </c>
      <c r="X40">
        <v>0.5</v>
      </c>
      <c r="Y40">
        <v>0.14000000000000001</v>
      </c>
      <c r="Z40">
        <v>0.65</v>
      </c>
      <c r="AA40">
        <v>1.23</v>
      </c>
      <c r="AB40">
        <v>1.8</v>
      </c>
      <c r="AC40">
        <v>0.46</v>
      </c>
      <c r="AD40">
        <v>2.078243923962201</v>
      </c>
      <c r="AE40" s="56">
        <v>54.944087422202919</v>
      </c>
      <c r="AF40" s="54">
        <v>5.72991556482913E-2</v>
      </c>
      <c r="AG40">
        <v>0.26029374542519201</v>
      </c>
      <c r="AH40">
        <v>0.74763337298305388</v>
      </c>
      <c r="AK40" s="60"/>
    </row>
    <row r="41" spans="1:37">
      <c r="A41" s="20">
        <v>38</v>
      </c>
      <c r="B41" s="20">
        <v>114</v>
      </c>
      <c r="C41" s="20" t="s">
        <v>69</v>
      </c>
      <c r="D41" s="20"/>
      <c r="E41" s="20"/>
      <c r="F41" s="57"/>
      <c r="G41" s="57"/>
      <c r="H41" s="20">
        <v>0.53750022804809083</v>
      </c>
      <c r="I41" s="20">
        <v>0.70663795524763606</v>
      </c>
      <c r="J41" s="20">
        <v>8.6358955154011804E-2</v>
      </c>
      <c r="K41" s="20">
        <v>0.17412115422969129</v>
      </c>
      <c r="L41" s="20">
        <v>1.3110517224521725</v>
      </c>
      <c r="M41" s="20">
        <v>0.28239548517889435</v>
      </c>
      <c r="N41">
        <v>1.2838355421482561</v>
      </c>
      <c r="O41">
        <v>0.77020468453260171</v>
      </c>
      <c r="P41">
        <v>0.92193614830072101</v>
      </c>
      <c r="Q41" s="54">
        <v>8.1804920602171094E-2</v>
      </c>
      <c r="R41">
        <v>0.61506150615061506</v>
      </c>
      <c r="S41">
        <v>0.24432715541096903</v>
      </c>
      <c r="U41" s="20">
        <v>0.65</v>
      </c>
      <c r="V41" s="58">
        <v>0.65</v>
      </c>
      <c r="W41">
        <v>0.96</v>
      </c>
      <c r="X41">
        <v>0.35</v>
      </c>
      <c r="Y41">
        <v>0.09</v>
      </c>
      <c r="Z41">
        <v>0.27</v>
      </c>
      <c r="AA41">
        <v>0.18</v>
      </c>
      <c r="AB41">
        <v>0.99</v>
      </c>
      <c r="AC41">
        <v>0.28999999999999998</v>
      </c>
      <c r="AD41">
        <v>1.0909659153583113</v>
      </c>
      <c r="AE41" s="56">
        <v>49.981386597192063</v>
      </c>
      <c r="AF41" s="54">
        <v>9.9823057324381709E-2</v>
      </c>
      <c r="AG41">
        <v>0.34477804913087196</v>
      </c>
      <c r="AH41">
        <v>0.37068644539706286</v>
      </c>
      <c r="AK41" s="60"/>
    </row>
    <row r="42" spans="1:37">
      <c r="A42" s="20">
        <v>39</v>
      </c>
      <c r="B42" s="20">
        <v>117</v>
      </c>
      <c r="C42" s="20" t="s">
        <v>69</v>
      </c>
      <c r="D42" s="20"/>
      <c r="E42" s="20"/>
      <c r="F42" s="57"/>
      <c r="G42" s="57"/>
      <c r="H42" s="20">
        <v>0.71771295130717172</v>
      </c>
      <c r="I42" s="20">
        <v>0.883362980994289</v>
      </c>
      <c r="J42" s="20">
        <v>0.17972099990637583</v>
      </c>
      <c r="K42" s="20">
        <v>0.14869787019639541</v>
      </c>
      <c r="L42" s="20">
        <v>1.2795358993579509</v>
      </c>
      <c r="M42" s="20">
        <v>0.17463883257538401</v>
      </c>
      <c r="N42">
        <v>1.410670101345626</v>
      </c>
      <c r="O42">
        <v>0.96169118916534002</v>
      </c>
      <c r="P42">
        <v>1.2461754517367289</v>
      </c>
      <c r="Q42" s="54">
        <v>8.0357045901247703E-2</v>
      </c>
      <c r="R42">
        <v>0.61934764905061945</v>
      </c>
      <c r="S42">
        <v>0.33780591514693376</v>
      </c>
      <c r="U42" s="20">
        <v>0.59</v>
      </c>
      <c r="V42" s="58">
        <v>0.59</v>
      </c>
      <c r="W42">
        <v>1.1000000000000001</v>
      </c>
      <c r="X42">
        <v>0.46</v>
      </c>
      <c r="Y42">
        <v>0.17</v>
      </c>
      <c r="Z42">
        <v>0.5</v>
      </c>
      <c r="AA42">
        <v>0.28000000000000003</v>
      </c>
      <c r="AB42">
        <v>1.53</v>
      </c>
      <c r="AC42">
        <v>0.27</v>
      </c>
      <c r="AD42">
        <v>0.83067985439570524</v>
      </c>
      <c r="AE42" s="56">
        <v>48.583687943262412</v>
      </c>
      <c r="AF42" s="54">
        <v>0.13910361056754994</v>
      </c>
      <c r="AG42">
        <v>0.34306784055383388</v>
      </c>
      <c r="AH42">
        <v>0.31269461038383345</v>
      </c>
      <c r="AK42" s="60"/>
    </row>
    <row r="43" spans="1:37">
      <c r="A43" s="20">
        <v>40</v>
      </c>
      <c r="B43" s="20">
        <v>120</v>
      </c>
      <c r="C43" s="20" t="s">
        <v>69</v>
      </c>
      <c r="D43" s="59" t="s">
        <v>135</v>
      </c>
      <c r="E43" s="59" t="s">
        <v>136</v>
      </c>
      <c r="F43" s="57"/>
      <c r="G43" s="57"/>
      <c r="H43" s="20">
        <v>0.62795322277561905</v>
      </c>
      <c r="I43" s="20">
        <v>0.77786724089504733</v>
      </c>
      <c r="J43" s="20">
        <v>0.25967606029397999</v>
      </c>
      <c r="K43" s="20">
        <v>0.19272150902201182</v>
      </c>
      <c r="L43" s="20">
        <v>1.299807711110387</v>
      </c>
      <c r="M43" s="20">
        <v>0.20806165872189653</v>
      </c>
      <c r="N43">
        <v>1.2527200623665391</v>
      </c>
      <c r="O43">
        <v>1.1427804101363925</v>
      </c>
      <c r="P43">
        <v>1.0441344443404177</v>
      </c>
      <c r="Q43" s="54">
        <v>7.6737359148939255E-2</v>
      </c>
      <c r="R43">
        <v>0.65649422085065656</v>
      </c>
      <c r="S43">
        <v>0.37661478651746061</v>
      </c>
      <c r="U43" s="20">
        <v>0.73</v>
      </c>
      <c r="V43" s="58">
        <v>0.73</v>
      </c>
      <c r="W43">
        <v>0.96</v>
      </c>
      <c r="X43">
        <v>0.43</v>
      </c>
      <c r="Y43">
        <v>0.08</v>
      </c>
      <c r="Z43">
        <v>0.5</v>
      </c>
      <c r="AA43">
        <v>0.34</v>
      </c>
      <c r="AB43">
        <v>1.1000000000000001</v>
      </c>
      <c r="AC43">
        <v>0.34</v>
      </c>
      <c r="AD43">
        <v>1.0177960804500494</v>
      </c>
      <c r="AE43" s="56">
        <v>50.220332175423358</v>
      </c>
      <c r="AF43" s="54">
        <v>7.6398874197721733E-2</v>
      </c>
      <c r="AG43">
        <v>0.32254533762937726</v>
      </c>
      <c r="AH43">
        <v>0.4741491510456653</v>
      </c>
      <c r="AK43" s="60"/>
    </row>
    <row r="44" spans="1:37">
      <c r="A44" s="20">
        <v>41</v>
      </c>
      <c r="B44" s="20">
        <v>123</v>
      </c>
      <c r="C44" s="20" t="s">
        <v>73</v>
      </c>
      <c r="D44" s="59" t="s">
        <v>135</v>
      </c>
      <c r="E44" s="59" t="s">
        <v>136</v>
      </c>
      <c r="F44" s="57"/>
      <c r="G44" s="57"/>
      <c r="H44" s="20">
        <v>0.70278948424643783</v>
      </c>
      <c r="I44" s="20">
        <v>0.93339574946166104</v>
      </c>
      <c r="J44" s="20">
        <v>0.17593858252972569</v>
      </c>
      <c r="K44" s="20">
        <v>0.19817985241479211</v>
      </c>
      <c r="L44" s="20">
        <v>1.3346478506013104</v>
      </c>
      <c r="M44" s="20">
        <v>0.22698299636549593</v>
      </c>
      <c r="N44">
        <v>1.4604616479680033</v>
      </c>
      <c r="O44">
        <v>1.1103992019797044</v>
      </c>
      <c r="P44">
        <v>1.2802172081265799</v>
      </c>
      <c r="Q44" s="54">
        <v>8.0357045901247703E-2</v>
      </c>
      <c r="R44">
        <v>0.70685639992570692</v>
      </c>
      <c r="S44">
        <v>0.28246108988809548</v>
      </c>
      <c r="U44" s="20">
        <v>0.57999999999999996</v>
      </c>
      <c r="V44" s="58">
        <v>0.57999999999999996</v>
      </c>
      <c r="W44">
        <v>1.21</v>
      </c>
      <c r="X44">
        <v>0.48</v>
      </c>
      <c r="Y44">
        <v>0.14000000000000001</v>
      </c>
      <c r="Z44">
        <v>0.59</v>
      </c>
      <c r="AA44">
        <v>0.36</v>
      </c>
      <c r="AB44">
        <v>1.42</v>
      </c>
      <c r="AC44">
        <v>0.35</v>
      </c>
      <c r="AD44">
        <v>0.84512997757105568</v>
      </c>
      <c r="AE44" s="56">
        <v>49.797304240845271</v>
      </c>
      <c r="AF44" s="54">
        <v>5.1893574926754379E-2</v>
      </c>
      <c r="AG44">
        <v>0.36393238519369819</v>
      </c>
      <c r="AH44">
        <v>0.55125193168825437</v>
      </c>
      <c r="AK44" s="60"/>
    </row>
    <row r="45" spans="1:37">
      <c r="A45" s="20">
        <v>42</v>
      </c>
      <c r="B45" s="20">
        <v>126</v>
      </c>
      <c r="C45" s="20" t="s">
        <v>73</v>
      </c>
      <c r="D45" s="59" t="s">
        <v>135</v>
      </c>
      <c r="E45" s="59" t="s">
        <v>136</v>
      </c>
      <c r="F45" s="57"/>
      <c r="G45" s="57"/>
      <c r="H45" s="20">
        <v>2.6744385456004962</v>
      </c>
      <c r="I45" s="20">
        <v>2.2675030427862564</v>
      </c>
      <c r="J45" s="20">
        <v>1.3272914521112258</v>
      </c>
      <c r="K45" s="20">
        <v>0.71894779934289943</v>
      </c>
      <c r="L45" s="20">
        <v>1.9644102597529578</v>
      </c>
      <c r="M45" s="20">
        <v>0.70911182948879514</v>
      </c>
      <c r="N45">
        <v>2.3125105921431719</v>
      </c>
      <c r="O45">
        <v>1.155594774501717</v>
      </c>
      <c r="P45">
        <v>1.9583185095028555</v>
      </c>
      <c r="Q45" s="54">
        <v>0.76266799871139157</v>
      </c>
      <c r="R45">
        <v>1.6201620162016201</v>
      </c>
      <c r="S45">
        <v>1.0451397794306232</v>
      </c>
      <c r="U45" s="20">
        <v>1.2</v>
      </c>
      <c r="V45" s="58">
        <v>1.2</v>
      </c>
      <c r="W45">
        <v>2.2799999999999998</v>
      </c>
      <c r="X45">
        <v>0.95</v>
      </c>
      <c r="Y45">
        <v>0.75</v>
      </c>
      <c r="Z45">
        <v>1.3</v>
      </c>
      <c r="AA45">
        <v>2.06</v>
      </c>
      <c r="AB45">
        <v>2.76</v>
      </c>
      <c r="AC45">
        <v>1.17</v>
      </c>
      <c r="AD45">
        <v>2.5752472699194762</v>
      </c>
      <c r="AE45" s="56">
        <v>76.325329280648432</v>
      </c>
      <c r="AF45" s="54">
        <v>0.13549989008652535</v>
      </c>
      <c r="AG45">
        <v>1.0801677372572358</v>
      </c>
      <c r="AH45">
        <v>1.3651146162489167</v>
      </c>
      <c r="AK45" s="60"/>
    </row>
    <row r="46" spans="1:37">
      <c r="A46" s="20">
        <v>43</v>
      </c>
      <c r="B46" s="20">
        <v>129</v>
      </c>
      <c r="C46" s="20" t="s">
        <v>73</v>
      </c>
      <c r="D46" s="59" t="s">
        <v>135</v>
      </c>
      <c r="E46" s="59" t="s">
        <v>136</v>
      </c>
      <c r="F46" s="57"/>
      <c r="G46" s="57"/>
      <c r="H46" s="20">
        <v>4.5500155072701736</v>
      </c>
      <c r="I46" s="20">
        <v>3.5352495084729898</v>
      </c>
      <c r="J46" s="20">
        <v>2.7972287239022564</v>
      </c>
      <c r="K46" s="20">
        <v>1.5472094219404411</v>
      </c>
      <c r="L46" s="20">
        <v>2.7685037317081123</v>
      </c>
      <c r="M46" s="20">
        <v>2.2473289134841927</v>
      </c>
      <c r="N46">
        <v>3.7962241128020882</v>
      </c>
      <c r="O46">
        <v>2.5789867444224908</v>
      </c>
      <c r="P46">
        <v>2.7669693848890553</v>
      </c>
      <c r="Q46" s="54">
        <v>1.5843368914854108</v>
      </c>
      <c r="R46">
        <v>2.7484891346277487</v>
      </c>
      <c r="S46">
        <v>2.8340600153885611</v>
      </c>
      <c r="U46" s="20">
        <v>1.66</v>
      </c>
      <c r="V46" s="58">
        <v>1.66</v>
      </c>
      <c r="W46">
        <v>3.52</v>
      </c>
      <c r="X46">
        <v>2.83</v>
      </c>
      <c r="Y46">
        <v>1.3</v>
      </c>
      <c r="Z46">
        <v>1.93</v>
      </c>
      <c r="AA46">
        <v>4.51</v>
      </c>
      <c r="AB46">
        <v>4.07</v>
      </c>
      <c r="AC46">
        <v>1.78</v>
      </c>
      <c r="AD46">
        <v>3.1770415854689849</v>
      </c>
      <c r="AE46" s="56">
        <v>85.148317412071208</v>
      </c>
      <c r="AF46" s="54">
        <v>3.0887488242861938</v>
      </c>
      <c r="AG46">
        <v>2.330672248787462</v>
      </c>
      <c r="AH46">
        <v>3.2531442448046235</v>
      </c>
      <c r="AK46" s="60"/>
    </row>
    <row r="47" spans="1:37">
      <c r="A47" s="20">
        <v>44</v>
      </c>
      <c r="B47" s="20">
        <v>132</v>
      </c>
      <c r="C47" s="20" t="s">
        <v>69</v>
      </c>
      <c r="D47" s="59" t="s">
        <v>135</v>
      </c>
      <c r="E47" s="59" t="s">
        <v>136</v>
      </c>
      <c r="F47" s="57"/>
      <c r="G47" s="57"/>
      <c r="H47" s="20">
        <v>1.9826683451006148</v>
      </c>
      <c r="I47" s="20">
        <v>2.7501544799176112</v>
      </c>
      <c r="J47" s="20">
        <v>1.5775301938020785</v>
      </c>
      <c r="K47" s="20">
        <v>0.7025517755361248</v>
      </c>
      <c r="L47" s="20">
        <v>1.7029951438907538</v>
      </c>
      <c r="M47" s="20">
        <v>1.3418077548262195</v>
      </c>
      <c r="N47">
        <v>1.7018269328542863</v>
      </c>
      <c r="O47">
        <v>0.97277906731377928</v>
      </c>
      <c r="P47">
        <v>2.043741222731954</v>
      </c>
      <c r="Q47" s="54">
        <v>0.86474316512648985</v>
      </c>
      <c r="R47">
        <v>1.4162130498764163</v>
      </c>
      <c r="S47">
        <v>1.1176954954711733</v>
      </c>
      <c r="U47" s="20">
        <v>1</v>
      </c>
      <c r="V47" s="58">
        <v>1</v>
      </c>
      <c r="W47">
        <v>1.98</v>
      </c>
      <c r="X47">
        <v>1.1399999999999999</v>
      </c>
      <c r="Y47">
        <v>0.67</v>
      </c>
      <c r="Z47">
        <v>0.89</v>
      </c>
      <c r="AA47">
        <v>1.55</v>
      </c>
      <c r="AB47">
        <v>2.91</v>
      </c>
      <c r="AC47">
        <v>1.27</v>
      </c>
      <c r="AD47">
        <v>2.1986248483288593</v>
      </c>
      <c r="AE47" s="56">
        <v>55.808391228831951</v>
      </c>
      <c r="AF47" s="54">
        <v>1.3531970406247411</v>
      </c>
      <c r="AG47">
        <v>0.97892338949658286</v>
      </c>
      <c r="AH47">
        <v>1.2771383665413472</v>
      </c>
      <c r="AK47" s="60"/>
    </row>
    <row r="48" spans="1:37">
      <c r="A48" s="20">
        <v>45</v>
      </c>
      <c r="B48" s="20">
        <v>135</v>
      </c>
      <c r="C48" s="20" t="s">
        <v>69</v>
      </c>
      <c r="D48" s="59" t="s">
        <v>135</v>
      </c>
      <c r="E48" s="59" t="s">
        <v>136</v>
      </c>
      <c r="F48" s="57"/>
      <c r="G48" s="57"/>
      <c r="H48" s="20">
        <v>1.4171455676573075</v>
      </c>
      <c r="I48" s="20">
        <v>1.7756015354367569</v>
      </c>
      <c r="J48" s="20">
        <v>1.3609212620541149</v>
      </c>
      <c r="K48" s="20">
        <v>0.75612751529910682</v>
      </c>
      <c r="L48" s="20">
        <v>1.2164064791578399</v>
      </c>
      <c r="M48" s="20">
        <v>0.82859386700272142</v>
      </c>
      <c r="N48">
        <v>1.710639595973291</v>
      </c>
      <c r="O48">
        <v>1.0426442095570605</v>
      </c>
      <c r="P48">
        <v>1.3537309240707798</v>
      </c>
      <c r="Q48" s="54">
        <v>0.73226262999200054</v>
      </c>
      <c r="R48">
        <v>1.0004571885760005</v>
      </c>
      <c r="S48">
        <v>0.7755024905171366</v>
      </c>
      <c r="U48" s="20">
        <v>0.76</v>
      </c>
      <c r="V48" s="58">
        <v>0.76</v>
      </c>
      <c r="W48">
        <v>1.39</v>
      </c>
      <c r="X48">
        <v>1.1599999999999999</v>
      </c>
      <c r="Y48">
        <v>0.49</v>
      </c>
      <c r="Z48">
        <v>0.77</v>
      </c>
      <c r="AA48">
        <v>0.99</v>
      </c>
      <c r="AB48">
        <v>2.46</v>
      </c>
      <c r="AC48">
        <v>1.5</v>
      </c>
      <c r="AD48">
        <v>2.0164724050446741</v>
      </c>
      <c r="AE48" s="56">
        <v>59.90053553336228</v>
      </c>
      <c r="AF48" s="54">
        <v>1.1297663708012153</v>
      </c>
      <c r="AG48">
        <v>0.66937563705269498</v>
      </c>
      <c r="AH48">
        <v>1.0303435686725471</v>
      </c>
      <c r="AK48" s="60"/>
    </row>
    <row r="49" spans="1:37">
      <c r="A49" s="20">
        <v>46</v>
      </c>
      <c r="B49" s="20">
        <v>138</v>
      </c>
      <c r="C49" s="20" t="s">
        <v>69</v>
      </c>
      <c r="D49" s="59" t="s">
        <v>135</v>
      </c>
      <c r="E49" s="59" t="s">
        <v>136</v>
      </c>
      <c r="F49" s="57"/>
      <c r="G49" s="57"/>
      <c r="H49" s="20">
        <v>0.54344772225566929</v>
      </c>
      <c r="I49" s="20">
        <v>0.41336953468776333</v>
      </c>
      <c r="J49" s="20">
        <v>0.34569796835502298</v>
      </c>
      <c r="K49" s="20">
        <v>0.20544364785287667</v>
      </c>
      <c r="L49" s="20">
        <v>0.65081641299742532</v>
      </c>
      <c r="M49" s="20">
        <v>0.28422186912132669</v>
      </c>
      <c r="N49">
        <v>0.66372911229366505</v>
      </c>
      <c r="O49">
        <v>0.2925818642214506</v>
      </c>
      <c r="P49">
        <v>0.51085104390974634</v>
      </c>
      <c r="Q49" s="54">
        <v>0.44268768980732415</v>
      </c>
      <c r="R49">
        <v>0.30574486020030572</v>
      </c>
      <c r="S49">
        <v>0.19505676219273496</v>
      </c>
      <c r="U49" s="20">
        <v>0.43</v>
      </c>
      <c r="V49" s="58">
        <v>0.43</v>
      </c>
      <c r="W49">
        <v>0.64</v>
      </c>
      <c r="X49">
        <v>0.54</v>
      </c>
      <c r="Y49">
        <v>0.12</v>
      </c>
      <c r="Z49">
        <v>0.22</v>
      </c>
      <c r="AA49">
        <v>0.25</v>
      </c>
      <c r="AB49">
        <v>0.86</v>
      </c>
      <c r="AC49">
        <v>1.22</v>
      </c>
      <c r="AD49">
        <v>0.75475236239291099</v>
      </c>
      <c r="AE49" s="56">
        <v>48.589061369228538</v>
      </c>
      <c r="AF49" s="54">
        <v>1.3056279302752163</v>
      </c>
      <c r="AG49">
        <v>0.33691108967649691</v>
      </c>
      <c r="AH49">
        <v>0.53378848137177048</v>
      </c>
      <c r="AK49" s="60"/>
    </row>
    <row r="50" spans="1:37">
      <c r="A50" s="20">
        <v>47</v>
      </c>
      <c r="B50" s="20">
        <v>141</v>
      </c>
      <c r="C50" s="20" t="s">
        <v>69</v>
      </c>
      <c r="D50" s="59" t="s">
        <v>135</v>
      </c>
      <c r="E50" s="59" t="s">
        <v>136</v>
      </c>
      <c r="F50" s="57"/>
      <c r="G50" s="57"/>
      <c r="H50" s="20">
        <v>0.43117508620217831</v>
      </c>
      <c r="I50" s="20">
        <v>0.47126673532440788</v>
      </c>
      <c r="J50" s="20">
        <v>0.22844302967886904</v>
      </c>
      <c r="K50" s="20">
        <v>0.16706729507594445</v>
      </c>
      <c r="L50" s="20">
        <v>0.69536877098067329</v>
      </c>
      <c r="M50" s="20">
        <v>0.19034573448030245</v>
      </c>
      <c r="N50">
        <v>1.0137613124089075</v>
      </c>
      <c r="O50">
        <v>0.78075543363578814</v>
      </c>
      <c r="P50">
        <v>0.92957588240801436</v>
      </c>
      <c r="Q50" s="54">
        <v>0.16071409180249541</v>
      </c>
      <c r="R50">
        <v>0.31967482462531971</v>
      </c>
      <c r="S50">
        <v>0.29697223309620552</v>
      </c>
      <c r="U50" s="20">
        <v>0.6</v>
      </c>
      <c r="V50" s="58">
        <v>0.6</v>
      </c>
      <c r="W50">
        <v>0.62</v>
      </c>
      <c r="X50">
        <v>0.32</v>
      </c>
      <c r="Y50">
        <v>0.09</v>
      </c>
      <c r="Z50">
        <v>0.63</v>
      </c>
      <c r="AA50">
        <v>0.09</v>
      </c>
      <c r="AB50">
        <v>0.73</v>
      </c>
      <c r="AC50">
        <v>0.66</v>
      </c>
      <c r="AD50">
        <v>0.95407581718571899</v>
      </c>
      <c r="AE50" s="56">
        <v>52.439354465190334</v>
      </c>
      <c r="AF50" s="54">
        <v>0.43929352663689997</v>
      </c>
      <c r="AG50">
        <v>0.18949111033581656</v>
      </c>
      <c r="AH50">
        <v>0.34004303257757235</v>
      </c>
      <c r="AK50" s="60"/>
    </row>
    <row r="51" spans="1:37">
      <c r="A51" s="20">
        <v>48</v>
      </c>
      <c r="B51" s="20">
        <v>144</v>
      </c>
      <c r="C51" s="20" t="s">
        <v>69</v>
      </c>
      <c r="D51" s="59" t="s">
        <v>135</v>
      </c>
      <c r="E51" s="59" t="s">
        <v>136</v>
      </c>
      <c r="F51" s="57"/>
      <c r="G51" s="57"/>
      <c r="H51" s="20">
        <v>0.34579388101362812</v>
      </c>
      <c r="I51" s="20">
        <v>0.56133320850107671</v>
      </c>
      <c r="J51" s="20">
        <v>0.25859001966108042</v>
      </c>
      <c r="K51" s="20">
        <v>0.13601771862239811</v>
      </c>
      <c r="L51" s="20">
        <v>0.88234527262653595</v>
      </c>
      <c r="M51" s="20">
        <v>0.15067667525067122</v>
      </c>
      <c r="N51">
        <v>0.8861471714740875</v>
      </c>
      <c r="O51">
        <v>1.1293905503654398</v>
      </c>
      <c r="P51">
        <v>0.80385731673064331</v>
      </c>
      <c r="Q51" s="54">
        <v>0.14514943876756906</v>
      </c>
      <c r="R51">
        <v>0.43540068292543543</v>
      </c>
      <c r="S51">
        <v>0.33780591514693376</v>
      </c>
      <c r="U51" s="20">
        <v>0.7</v>
      </c>
      <c r="V51" s="58">
        <v>0.7</v>
      </c>
      <c r="W51">
        <v>0.64</v>
      </c>
      <c r="X51">
        <v>0.4</v>
      </c>
      <c r="Y51">
        <v>0.04</v>
      </c>
      <c r="Z51">
        <v>0.53</v>
      </c>
      <c r="AA51">
        <v>7.0000000000000007E-2</v>
      </c>
      <c r="AB51">
        <v>0.57999999999999996</v>
      </c>
      <c r="AC51">
        <v>0.42</v>
      </c>
      <c r="AD51">
        <v>1.0885759458763833</v>
      </c>
      <c r="AE51" s="56">
        <v>57.934704732957016</v>
      </c>
      <c r="AF51" s="54">
        <v>0.27856759318320234</v>
      </c>
      <c r="AG51">
        <v>0.20385686238293618</v>
      </c>
      <c r="AH51">
        <v>0.40330685259200438</v>
      </c>
      <c r="AK51" s="60"/>
    </row>
    <row r="52" spans="1:37">
      <c r="A52" s="20">
        <v>49</v>
      </c>
      <c r="B52" s="20">
        <v>147</v>
      </c>
      <c r="C52" s="20" t="s">
        <v>69</v>
      </c>
      <c r="D52" s="59" t="s">
        <v>135</v>
      </c>
      <c r="E52" s="59" t="s">
        <v>136</v>
      </c>
      <c r="F52" s="57"/>
      <c r="G52" s="57"/>
      <c r="H52" s="20">
        <v>0.51381971430135187</v>
      </c>
      <c r="I52" s="20">
        <v>0.93680367006834575</v>
      </c>
      <c r="J52" s="20">
        <v>0.2796741878101302</v>
      </c>
      <c r="K52" s="20">
        <v>0.14934867267784227</v>
      </c>
      <c r="L52" s="20">
        <v>0.96502949516018632</v>
      </c>
      <c r="M52" s="20">
        <v>0.20123098277719942</v>
      </c>
      <c r="N52">
        <v>1.5344880181676439</v>
      </c>
      <c r="O52">
        <v>0.92624067217863393</v>
      </c>
      <c r="P52">
        <v>1.1192584963954686</v>
      </c>
      <c r="Q52" s="54">
        <v>0.10714272786833026</v>
      </c>
      <c r="R52">
        <v>0.56719957710056723</v>
      </c>
      <c r="S52">
        <v>0.22104183258865295</v>
      </c>
      <c r="U52" s="20">
        <v>0.59</v>
      </c>
      <c r="V52" s="58">
        <v>0.59</v>
      </c>
      <c r="W52">
        <v>0.89</v>
      </c>
      <c r="X52">
        <v>0.46</v>
      </c>
      <c r="Y52">
        <v>0.13</v>
      </c>
      <c r="Z52">
        <v>0.64</v>
      </c>
      <c r="AA52">
        <v>0.31</v>
      </c>
      <c r="AB52">
        <v>0.96</v>
      </c>
      <c r="AC52">
        <v>0.39</v>
      </c>
      <c r="AD52">
        <v>0.96337831378460848</v>
      </c>
      <c r="AE52" s="56">
        <v>54.119355188884057</v>
      </c>
      <c r="AF52" s="54">
        <v>0.1596448173093902</v>
      </c>
      <c r="AG52">
        <v>0.26303007914845294</v>
      </c>
      <c r="AH52">
        <v>0.65866862608775878</v>
      </c>
    </row>
    <row r="53" spans="1:37" ht="17.100000000000001" thickBot="1">
      <c r="A53" s="62">
        <v>50</v>
      </c>
      <c r="B53" s="62">
        <v>150</v>
      </c>
      <c r="C53" s="62" t="s">
        <v>69</v>
      </c>
      <c r="D53" s="59" t="s">
        <v>135</v>
      </c>
      <c r="E53" s="59" t="s">
        <v>136</v>
      </c>
      <c r="F53" s="63"/>
      <c r="G53" s="63"/>
      <c r="H53" s="62">
        <v>0.47222374254282751</v>
      </c>
      <c r="I53" s="62">
        <v>0.70315513528695817</v>
      </c>
      <c r="J53" s="62">
        <v>0.12732890178822209</v>
      </c>
      <c r="K53" s="62">
        <v>0.16981746040076837</v>
      </c>
      <c r="L53" s="62">
        <v>0.96366065899683873</v>
      </c>
      <c r="M53" s="62">
        <v>0.2353843625006849</v>
      </c>
      <c r="N53">
        <v>1.7421957089109583</v>
      </c>
      <c r="O53">
        <v>0.9287344856030233</v>
      </c>
      <c r="P53">
        <v>0.8799176107106077</v>
      </c>
      <c r="Q53" s="54">
        <v>7.0221922994784039E-2</v>
      </c>
      <c r="R53">
        <v>0.59077336305059069</v>
      </c>
      <c r="S53">
        <v>0.26660007289318449</v>
      </c>
      <c r="U53" s="62">
        <v>0.49</v>
      </c>
      <c r="V53" s="64">
        <v>0.49</v>
      </c>
      <c r="W53">
        <v>0.73</v>
      </c>
      <c r="X53">
        <v>0.41</v>
      </c>
      <c r="Y53">
        <v>0.06</v>
      </c>
      <c r="Z53">
        <v>0.45</v>
      </c>
      <c r="AA53">
        <v>0.27</v>
      </c>
      <c r="AB53">
        <v>0.79</v>
      </c>
      <c r="AC53">
        <v>0.42</v>
      </c>
      <c r="AD53">
        <v>0.91311541714159639</v>
      </c>
      <c r="AE53" s="56">
        <v>52.014017947604565</v>
      </c>
      <c r="AF53" s="54">
        <v>5.72991556482913E-2</v>
      </c>
      <c r="AG53">
        <v>0.24319165965481146</v>
      </c>
      <c r="AH53">
        <v>0.47447865010824047</v>
      </c>
    </row>
    <row r="54" spans="1:37">
      <c r="A54" s="65"/>
      <c r="B54" s="66" t="s">
        <v>137</v>
      </c>
      <c r="C54" s="67" t="s">
        <v>138</v>
      </c>
      <c r="D54" s="67"/>
      <c r="E54" s="67"/>
      <c r="F54" s="67"/>
      <c r="G54" s="67"/>
      <c r="H54" s="67">
        <f>IFERROR(IF(AVERAGE(H4:H6)=0,"",AVERAGE(H4:H6)),"")</f>
        <v>0.71536557629272857</v>
      </c>
      <c r="I54" s="67">
        <f t="shared" ref="I54:AH54" si="0">IFERROR(IF(AVERAGE(I4:I6)=0,"",AVERAGE(I4:I6)),"")</f>
        <v>0.44583840464376001</v>
      </c>
      <c r="J54" s="67">
        <f t="shared" si="0"/>
        <v>0.27770183815497923</v>
      </c>
      <c r="K54" s="67">
        <f t="shared" si="0"/>
        <v>0.14761319939398393</v>
      </c>
      <c r="L54" s="67">
        <f t="shared" si="0"/>
        <v>0.547197688187813</v>
      </c>
      <c r="M54" s="67">
        <f t="shared" si="0"/>
        <v>0.19571530327105366</v>
      </c>
      <c r="N54" s="67">
        <f t="shared" si="0"/>
        <v>0.92804121614751045</v>
      </c>
      <c r="O54" s="67">
        <f t="shared" si="0"/>
        <v>0.62763528937827318</v>
      </c>
      <c r="P54" s="67">
        <f t="shared" si="0"/>
        <v>1.9080610429735045</v>
      </c>
      <c r="Q54" s="68">
        <f t="shared" si="0"/>
        <v>0.14876912551987753</v>
      </c>
      <c r="R54" s="67">
        <f t="shared" si="0"/>
        <v>0.30336366970030337</v>
      </c>
      <c r="S54" s="67">
        <f t="shared" si="0"/>
        <v>0.43533429624330128</v>
      </c>
      <c r="T54" s="67"/>
      <c r="U54" s="67">
        <f t="shared" si="0"/>
        <v>0.44</v>
      </c>
      <c r="V54" s="67">
        <f t="shared" si="0"/>
        <v>0.44</v>
      </c>
      <c r="W54" s="67">
        <f t="shared" si="0"/>
        <v>1.9066666666666665</v>
      </c>
      <c r="X54" s="67">
        <f t="shared" si="0"/>
        <v>0.45999999999999996</v>
      </c>
      <c r="Y54" s="67">
        <f t="shared" si="0"/>
        <v>0.18000000000000002</v>
      </c>
      <c r="Z54" s="67">
        <f t="shared" si="0"/>
        <v>0.56666666666666676</v>
      </c>
      <c r="AA54" s="67">
        <f t="shared" si="0"/>
        <v>0.62666666666666659</v>
      </c>
      <c r="AB54" s="67">
        <f t="shared" si="0"/>
        <v>1.1566666666666667</v>
      </c>
      <c r="AC54" s="67">
        <f t="shared" si="0"/>
        <v>7.6666666666666661E-2</v>
      </c>
      <c r="AD54" s="67">
        <f t="shared" si="0"/>
        <v>0.82053167628782564</v>
      </c>
      <c r="AE54" s="69">
        <f t="shared" si="0"/>
        <v>36.663344912433054</v>
      </c>
      <c r="AF54" s="68">
        <f t="shared" si="0"/>
        <v>0.12336736446707582</v>
      </c>
      <c r="AG54" s="67">
        <f t="shared" si="0"/>
        <v>0.34420797960519262</v>
      </c>
      <c r="AH54" s="67">
        <f t="shared" si="0"/>
        <v>0.65537363546200711</v>
      </c>
    </row>
    <row r="55" spans="1:37">
      <c r="A55" s="70"/>
      <c r="B55" s="71" t="s">
        <v>139</v>
      </c>
      <c r="C55" s="72" t="s">
        <v>140</v>
      </c>
      <c r="D55" s="73"/>
      <c r="E55" s="73"/>
      <c r="F55" s="73"/>
      <c r="G55" s="73"/>
      <c r="H55" s="74">
        <f>IFERROR(IF(AVERAGE(H4:H6)=0,"",AVERAGE(H33:H34)),"")</f>
        <v>0.87776622334117826</v>
      </c>
      <c r="I55" s="74">
        <f t="shared" ref="I55:AH55" si="1">IFERROR(IF(AVERAGE(I4:I6)=0,"",AVERAGE(I33:I34)),"")</f>
        <v>1.18994476172643</v>
      </c>
      <c r="J55" s="74">
        <f t="shared" si="1"/>
        <v>0.9242580282745062</v>
      </c>
      <c r="K55" s="74">
        <f t="shared" si="1"/>
        <v>0.30454407087448965</v>
      </c>
      <c r="L55" s="74">
        <f t="shared" si="1"/>
        <v>1.3392595248183032</v>
      </c>
      <c r="M55" s="74">
        <f t="shared" si="1"/>
        <v>0.31598268588022571</v>
      </c>
      <c r="N55" s="74">
        <f t="shared" si="1"/>
        <v>1.9695963122394331</v>
      </c>
      <c r="O55" s="74">
        <f t="shared" si="1"/>
        <v>1.2247885054384318</v>
      </c>
      <c r="P55" s="74">
        <f t="shared" si="1"/>
        <v>1.2735511656211966</v>
      </c>
      <c r="Q55" s="75">
        <f t="shared" si="1"/>
        <v>0.52811229716180363</v>
      </c>
      <c r="R55" s="74">
        <f t="shared" si="1"/>
        <v>0.73757375737573772</v>
      </c>
      <c r="S55" s="74">
        <f t="shared" si="1"/>
        <v>0.55783534239548604</v>
      </c>
      <c r="T55" s="74"/>
      <c r="U55" s="74">
        <f t="shared" si="1"/>
        <v>0.82499999999999996</v>
      </c>
      <c r="V55" s="74">
        <f t="shared" si="1"/>
        <v>0.82499999999999996</v>
      </c>
      <c r="W55" s="74">
        <f t="shared" si="1"/>
        <v>1.675</v>
      </c>
      <c r="X55" s="74">
        <f t="shared" si="1"/>
        <v>0.59499999999999997</v>
      </c>
      <c r="Y55" s="74">
        <f t="shared" si="1"/>
        <v>0.16500000000000001</v>
      </c>
      <c r="Z55" s="74">
        <f t="shared" si="1"/>
        <v>0.81</v>
      </c>
      <c r="AA55" s="74">
        <f t="shared" si="1"/>
        <v>0.39</v>
      </c>
      <c r="AB55" s="74">
        <f t="shared" si="1"/>
        <v>1.79</v>
      </c>
      <c r="AC55" s="74">
        <f t="shared" si="1"/>
        <v>0.54499999999999993</v>
      </c>
      <c r="AD55" s="74">
        <f t="shared" si="1"/>
        <v>1.3535316395190646</v>
      </c>
      <c r="AE55" s="76">
        <f t="shared" si="1"/>
        <v>45.592401215805467</v>
      </c>
      <c r="AF55" s="75">
        <f t="shared" si="1"/>
        <v>0.37965195267594265</v>
      </c>
      <c r="AG55" s="74">
        <f t="shared" si="1"/>
        <v>0.53615038890143041</v>
      </c>
      <c r="AH55" s="74">
        <f t="shared" si="1"/>
        <v>0.95274653943609544</v>
      </c>
    </row>
    <row r="56" spans="1:37">
      <c r="A56" s="70"/>
      <c r="B56" s="71" t="s">
        <v>141</v>
      </c>
      <c r="C56" s="72" t="s">
        <v>142</v>
      </c>
      <c r="D56" s="73"/>
      <c r="E56" s="73"/>
      <c r="F56" s="73"/>
      <c r="G56" s="73"/>
      <c r="H56" s="74">
        <f>IFERROR(IF(AVERAGE(H4:H6)=0,"",MIN(H33:H39)),"")</f>
        <v>0.2500136828854469</v>
      </c>
      <c r="I56" s="74">
        <f t="shared" ref="I56:AH56" si="2">IFERROR(IF(AVERAGE(I4:I6)=0,"",MIN(I33:I39)),"")</f>
        <v>0.19863308678962646</v>
      </c>
      <c r="J56" s="74">
        <f t="shared" si="2"/>
        <v>0.22739443872296602</v>
      </c>
      <c r="K56" s="74">
        <f t="shared" si="2"/>
        <v>4.1126518101756118E-2</v>
      </c>
      <c r="L56" s="74">
        <f t="shared" si="2"/>
        <v>0.22517354887071014</v>
      </c>
      <c r="M56" s="74">
        <f t="shared" si="2"/>
        <v>0.11944550983507754</v>
      </c>
      <c r="N56" s="74">
        <f t="shared" si="2"/>
        <v>1.0121343592177068</v>
      </c>
      <c r="O56" s="74">
        <f t="shared" si="2"/>
        <v>6.1539642041857703E-2</v>
      </c>
      <c r="P56" s="74">
        <f t="shared" si="2"/>
        <v>0.35839340885684867</v>
      </c>
      <c r="Q56" s="75">
        <f t="shared" si="2"/>
        <v>8.6872482055402933E-2</v>
      </c>
      <c r="R56" s="74">
        <f t="shared" si="2"/>
        <v>0.1092966439501093</v>
      </c>
      <c r="S56" s="74">
        <f t="shared" si="2"/>
        <v>9.3478759735964687E-2</v>
      </c>
      <c r="T56" s="74"/>
      <c r="U56" s="74">
        <f t="shared" si="2"/>
        <v>0.25</v>
      </c>
      <c r="V56" s="74">
        <f t="shared" si="2"/>
        <v>0.25</v>
      </c>
      <c r="W56" s="74">
        <f t="shared" si="2"/>
        <v>0.55000000000000004</v>
      </c>
      <c r="X56" s="74">
        <f t="shared" si="2"/>
        <v>0.22</v>
      </c>
      <c r="Y56" s="74">
        <f t="shared" si="2"/>
        <v>0.03</v>
      </c>
      <c r="Z56" s="74">
        <f t="shared" si="2"/>
        <v>0.12</v>
      </c>
      <c r="AA56" s="74">
        <f t="shared" si="2"/>
        <v>0.04</v>
      </c>
      <c r="AB56" s="74">
        <f t="shared" si="2"/>
        <v>0.36</v>
      </c>
      <c r="AC56" s="74">
        <f t="shared" si="2"/>
        <v>0.35</v>
      </c>
      <c r="AD56" s="74">
        <f t="shared" si="2"/>
        <v>0.5408684781409715</v>
      </c>
      <c r="AE56" s="76">
        <f t="shared" si="2"/>
        <v>45.039683745838758</v>
      </c>
      <c r="AF56" s="75">
        <f t="shared" si="2"/>
        <v>9.2615616362332467E-2</v>
      </c>
      <c r="AG56" s="74">
        <f t="shared" si="2"/>
        <v>7.5933260820489665E-2</v>
      </c>
      <c r="AH56" s="74">
        <f t="shared" si="2"/>
        <v>0.22801335130201553</v>
      </c>
    </row>
    <row r="57" spans="1:37">
      <c r="A57" s="70"/>
      <c r="B57" s="77"/>
      <c r="C57" s="72" t="s">
        <v>143</v>
      </c>
      <c r="D57" s="73"/>
      <c r="E57" s="73"/>
      <c r="F57" s="73"/>
      <c r="G57" s="73"/>
      <c r="H57" s="72">
        <f>IFERROR(IF(AVERAGE(H4:H6)=0,"",-(H56/H55)),"")</f>
        <v>-0.28482946397023673</v>
      </c>
      <c r="I57" s="72">
        <f t="shared" ref="I57:AH57" si="3">IFERROR(IF(AVERAGE(I4:I6)=0,"",-(I56/I55)),"")</f>
        <v>-0.16692630883255444</v>
      </c>
      <c r="J57" s="72">
        <f t="shared" si="3"/>
        <v>-0.2460291734197731</v>
      </c>
      <c r="K57" s="72">
        <f t="shared" si="3"/>
        <v>-0.13504291179815942</v>
      </c>
      <c r="L57" s="72">
        <f t="shared" si="3"/>
        <v>-0.16813287096185434</v>
      </c>
      <c r="M57" s="72">
        <f t="shared" si="3"/>
        <v>-0.37801283162822963</v>
      </c>
      <c r="N57" s="72">
        <f t="shared" si="3"/>
        <v>-0.51387908929769921</v>
      </c>
      <c r="O57" s="72">
        <f t="shared" si="3"/>
        <v>-5.0245117233386059E-2</v>
      </c>
      <c r="P57" s="72">
        <f t="shared" si="3"/>
        <v>-0.28141265033669544</v>
      </c>
      <c r="Q57" s="78">
        <f t="shared" si="3"/>
        <v>-0.16449623029472243</v>
      </c>
      <c r="R57" s="72">
        <f t="shared" si="3"/>
        <v>-0.14818401937046002</v>
      </c>
      <c r="S57" s="72">
        <f t="shared" si="3"/>
        <v>-0.1675741076830006</v>
      </c>
      <c r="T57" s="72"/>
      <c r="U57" s="72">
        <f t="shared" si="3"/>
        <v>-0.30303030303030304</v>
      </c>
      <c r="V57" s="72">
        <f t="shared" si="3"/>
        <v>-0.30303030303030304</v>
      </c>
      <c r="W57" s="72">
        <f t="shared" si="3"/>
        <v>-0.32835820895522388</v>
      </c>
      <c r="X57" s="72">
        <f t="shared" si="3"/>
        <v>-0.36974789915966388</v>
      </c>
      <c r="Y57" s="72">
        <f t="shared" si="3"/>
        <v>-0.1818181818181818</v>
      </c>
      <c r="Z57" s="72">
        <f t="shared" si="3"/>
        <v>-0.14814814814814814</v>
      </c>
      <c r="AA57" s="72">
        <f t="shared" si="3"/>
        <v>-0.10256410256410256</v>
      </c>
      <c r="AB57" s="72">
        <f t="shared" si="3"/>
        <v>-0.20111731843575417</v>
      </c>
      <c r="AC57" s="72">
        <f t="shared" si="3"/>
        <v>-0.64220183486238536</v>
      </c>
      <c r="AD57" s="72">
        <f t="shared" si="3"/>
        <v>-0.39959795718787355</v>
      </c>
      <c r="AE57" s="79">
        <f t="shared" si="3"/>
        <v>-0.98787698267194801</v>
      </c>
      <c r="AF57" s="78">
        <f t="shared" si="3"/>
        <v>-0.24394874228761271</v>
      </c>
      <c r="AG57" s="72">
        <f t="shared" si="3"/>
        <v>-0.14162679425837321</v>
      </c>
      <c r="AH57" s="72">
        <f t="shared" si="3"/>
        <v>-0.23932215113263006</v>
      </c>
    </row>
    <row r="58" spans="1:37">
      <c r="B58" t="s">
        <v>144</v>
      </c>
      <c r="U58">
        <v>20</v>
      </c>
      <c r="V58">
        <v>20</v>
      </c>
      <c r="W58">
        <v>36.68</v>
      </c>
      <c r="X58">
        <v>23.21</v>
      </c>
      <c r="Y58">
        <v>15.21</v>
      </c>
      <c r="Z58">
        <v>34.31</v>
      </c>
      <c r="AA58">
        <v>55.93</v>
      </c>
      <c r="AB58">
        <v>67.58</v>
      </c>
      <c r="AC58">
        <v>23.47</v>
      </c>
      <c r="AD58">
        <v>65.3</v>
      </c>
      <c r="AG58">
        <v>56.92</v>
      </c>
      <c r="AH58">
        <v>37.51</v>
      </c>
    </row>
    <row r="59" spans="1:37">
      <c r="B59" t="s">
        <v>145</v>
      </c>
      <c r="U59">
        <v>4.2859999999999996</v>
      </c>
      <c r="V59">
        <v>4.2859999999999996</v>
      </c>
      <c r="W59">
        <v>12.09</v>
      </c>
      <c r="X59">
        <v>4.8959999999999999</v>
      </c>
      <c r="Y59">
        <v>2.6619999999999999</v>
      </c>
      <c r="Z59">
        <v>5.8390000000000004</v>
      </c>
      <c r="AA59">
        <v>10.06</v>
      </c>
      <c r="AB59">
        <v>12.97</v>
      </c>
      <c r="AC59">
        <v>3.258</v>
      </c>
      <c r="AD59">
        <v>11.6</v>
      </c>
      <c r="AG59">
        <v>9.3699999999999992</v>
      </c>
      <c r="AH59">
        <v>4.7670000000000003</v>
      </c>
    </row>
    <row r="60" spans="1:37">
      <c r="B60" t="s">
        <v>146</v>
      </c>
      <c r="U60">
        <f>U58-U59</f>
        <v>15.714</v>
      </c>
      <c r="V60">
        <f t="shared" ref="V60:AH60" si="4">V58-V59</f>
        <v>15.714</v>
      </c>
      <c r="W60">
        <f t="shared" si="4"/>
        <v>24.59</v>
      </c>
      <c r="X60">
        <f t="shared" si="4"/>
        <v>18.314</v>
      </c>
      <c r="Y60">
        <f t="shared" si="4"/>
        <v>12.548000000000002</v>
      </c>
      <c r="Z60">
        <f t="shared" si="4"/>
        <v>28.471000000000004</v>
      </c>
      <c r="AA60">
        <f t="shared" si="4"/>
        <v>45.87</v>
      </c>
      <c r="AB60">
        <f t="shared" si="4"/>
        <v>54.61</v>
      </c>
      <c r="AC60">
        <f t="shared" si="4"/>
        <v>20.212</v>
      </c>
      <c r="AD60">
        <f t="shared" si="4"/>
        <v>53.699999999999996</v>
      </c>
      <c r="AE60" s="80"/>
      <c r="AF60" s="81"/>
      <c r="AG60">
        <f t="shared" si="4"/>
        <v>47.550000000000004</v>
      </c>
      <c r="AH60">
        <f t="shared" si="4"/>
        <v>32.742999999999995</v>
      </c>
    </row>
    <row r="61" spans="1:37">
      <c r="B61" t="s">
        <v>147</v>
      </c>
      <c r="U61">
        <v>21.33</v>
      </c>
      <c r="V61">
        <v>21.33</v>
      </c>
      <c r="W61">
        <v>46.94</v>
      </c>
      <c r="X61">
        <v>27.48</v>
      </c>
      <c r="Y61">
        <v>10.38</v>
      </c>
      <c r="Z61">
        <v>29.03</v>
      </c>
      <c r="AA61">
        <v>52.93</v>
      </c>
      <c r="AB61">
        <v>64.400000000000006</v>
      </c>
      <c r="AC61">
        <v>14.73</v>
      </c>
      <c r="AD61">
        <v>60.02</v>
      </c>
      <c r="AG61">
        <v>44.57</v>
      </c>
      <c r="AH61">
        <v>18</v>
      </c>
    </row>
    <row r="62" spans="1:37">
      <c r="B62" t="s">
        <v>148</v>
      </c>
      <c r="U62">
        <v>-4.4109999999999996</v>
      </c>
      <c r="V62">
        <v>-4.4109999999999996</v>
      </c>
      <c r="W62">
        <v>-4.3449999999999998</v>
      </c>
      <c r="X62">
        <v>1.1859999999999999</v>
      </c>
      <c r="Y62">
        <v>-0.44729999999999998</v>
      </c>
      <c r="Z62">
        <v>-0.72929999999999995</v>
      </c>
      <c r="AA62">
        <v>-0.64129999999999998</v>
      </c>
      <c r="AB62">
        <v>-2.4929999999999999</v>
      </c>
      <c r="AC62">
        <v>0.66</v>
      </c>
      <c r="AD62">
        <v>-5.077</v>
      </c>
      <c r="AG62">
        <v>-4.91</v>
      </c>
      <c r="AH62">
        <v>-4.798</v>
      </c>
    </row>
    <row r="63" spans="1:37">
      <c r="B63" t="s">
        <v>149</v>
      </c>
      <c r="U63">
        <v>6.3739999999999997</v>
      </c>
      <c r="V63">
        <v>6.3739999999999997</v>
      </c>
      <c r="W63">
        <v>18.41</v>
      </c>
      <c r="X63">
        <v>13.67</v>
      </c>
      <c r="Y63">
        <v>9.2070000000000007</v>
      </c>
      <c r="Z63">
        <v>9.1470000000000002</v>
      </c>
      <c r="AA63">
        <v>23.81</v>
      </c>
      <c r="AB63">
        <v>26.8</v>
      </c>
      <c r="AC63">
        <v>16.13</v>
      </c>
      <c r="AD63">
        <v>17.89</v>
      </c>
      <c r="AG63">
        <v>12.2</v>
      </c>
      <c r="AH63">
        <v>15.43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C20A-2418-874A-A972-9BACE8AA0C0B}">
  <dimension ref="A1:AH63"/>
  <sheetViews>
    <sheetView topLeftCell="I1" workbookViewId="0">
      <selection activeCell="T9" sqref="T9"/>
    </sheetView>
  </sheetViews>
  <sheetFormatPr defaultColWidth="11" defaultRowHeight="15.95"/>
  <cols>
    <col min="3" max="3" width="36" bestFit="1" customWidth="1"/>
    <col min="4" max="4" width="7.625" customWidth="1"/>
    <col min="5" max="7" width="6.625" customWidth="1"/>
    <col min="17" max="17" width="10.875" customWidth="1"/>
    <col min="31" max="32" width="10.875" customWidth="1"/>
  </cols>
  <sheetData>
    <row r="1" spans="1:34" ht="21.95">
      <c r="A1" s="32" t="s">
        <v>150</v>
      </c>
      <c r="D1" s="33" t="s">
        <v>95</v>
      </c>
      <c r="E1" s="34" t="s">
        <v>96</v>
      </c>
      <c r="F1" s="35"/>
      <c r="H1" s="36" t="s">
        <v>97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 t="s">
        <v>98</v>
      </c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 ht="21.95">
      <c r="A2" s="32"/>
      <c r="D2" s="40" t="s">
        <v>99</v>
      </c>
      <c r="E2" s="41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4" s="51" customFormat="1" ht="51">
      <c r="A3" s="42" t="s">
        <v>61</v>
      </c>
      <c r="B3" s="42" t="s">
        <v>100</v>
      </c>
      <c r="C3" s="42" t="s">
        <v>63</v>
      </c>
      <c r="D3" s="42" t="s">
        <v>101</v>
      </c>
      <c r="E3" s="42" t="s">
        <v>102</v>
      </c>
      <c r="F3" s="43" t="s">
        <v>103</v>
      </c>
      <c r="G3" s="43"/>
      <c r="H3" s="42" t="s">
        <v>104</v>
      </c>
      <c r="I3" s="42" t="s">
        <v>105</v>
      </c>
      <c r="J3" s="42" t="s">
        <v>106</v>
      </c>
      <c r="K3" s="42" t="s">
        <v>107</v>
      </c>
      <c r="L3" s="42" t="s">
        <v>108</v>
      </c>
      <c r="M3" s="44" t="s">
        <v>109</v>
      </c>
      <c r="N3" s="45" t="s">
        <v>110</v>
      </c>
      <c r="O3" s="45" t="s">
        <v>111</v>
      </c>
      <c r="P3" s="49" t="s">
        <v>112</v>
      </c>
      <c r="Q3" s="49" t="s">
        <v>113</v>
      </c>
      <c r="R3" s="45" t="s">
        <v>114</v>
      </c>
      <c r="S3" s="45" t="s">
        <v>115</v>
      </c>
      <c r="T3" s="45"/>
      <c r="U3" s="48" t="s">
        <v>116</v>
      </c>
      <c r="V3" s="48" t="s">
        <v>117</v>
      </c>
      <c r="W3" s="48" t="s">
        <v>118</v>
      </c>
      <c r="X3" s="48" t="s">
        <v>119</v>
      </c>
      <c r="Y3" s="45" t="s">
        <v>120</v>
      </c>
      <c r="Z3" s="45" t="s">
        <v>121</v>
      </c>
      <c r="AA3" s="45" t="s">
        <v>122</v>
      </c>
      <c r="AB3" s="45" t="s">
        <v>123</v>
      </c>
      <c r="AC3" s="45" t="s">
        <v>124</v>
      </c>
      <c r="AD3" s="45" t="s">
        <v>125</v>
      </c>
      <c r="AE3" s="45" t="s">
        <v>126</v>
      </c>
      <c r="AF3" s="45" t="s">
        <v>127</v>
      </c>
      <c r="AG3" s="45" t="s">
        <v>128</v>
      </c>
      <c r="AH3" s="50" t="s">
        <v>129</v>
      </c>
    </row>
    <row r="4" spans="1:34">
      <c r="A4" s="52">
        <v>1</v>
      </c>
      <c r="B4" s="52">
        <v>3</v>
      </c>
      <c r="C4" s="52" t="s">
        <v>68</v>
      </c>
      <c r="D4" s="52"/>
      <c r="E4" s="52"/>
      <c r="F4" s="53"/>
      <c r="G4" s="53"/>
      <c r="H4" s="52">
        <v>3.1173251791801599E-2</v>
      </c>
      <c r="I4" s="52">
        <v>3.4924206366376769E-2</v>
      </c>
      <c r="J4" s="52">
        <v>2.702078702689165E-2</v>
      </c>
      <c r="K4" s="52">
        <v>3.5818709571289846E-2</v>
      </c>
      <c r="L4">
        <v>3.7433688958672731E-2</v>
      </c>
      <c r="M4">
        <v>2.5000000000000001E-2</v>
      </c>
      <c r="N4">
        <v>0.13377242681775259</v>
      </c>
      <c r="O4">
        <v>3.4487921740866442E-2</v>
      </c>
      <c r="P4" s="56">
        <v>0.64032766990291268</v>
      </c>
      <c r="Q4" s="56">
        <v>0.11826962925180912</v>
      </c>
      <c r="R4">
        <v>1.9296055624905207E-2</v>
      </c>
      <c r="S4">
        <v>7.7200355237724866E-2</v>
      </c>
      <c r="U4" s="52">
        <v>0.32100000000000001</v>
      </c>
      <c r="V4" s="52">
        <v>0.376</v>
      </c>
      <c r="W4" s="52">
        <v>9.6000000000000002E-2</v>
      </c>
      <c r="X4" s="52">
        <v>0.05</v>
      </c>
      <c r="Y4">
        <v>0.106</v>
      </c>
      <c r="Z4">
        <v>8.1000000000000003E-2</v>
      </c>
      <c r="AA4">
        <v>0.442</v>
      </c>
      <c r="AB4" s="52">
        <v>1.7000000000000001E-2</v>
      </c>
      <c r="AC4" s="52">
        <v>0.27500000000000002</v>
      </c>
      <c r="AD4">
        <v>5.7152974973027001E-2</v>
      </c>
      <c r="AE4">
        <v>0.10905582757283208</v>
      </c>
      <c r="AF4">
        <v>2.8473804100227793E-2</v>
      </c>
      <c r="AG4" s="23">
        <v>4.1020920000000002E-2</v>
      </c>
      <c r="AH4">
        <v>8.7958408173949149E-2</v>
      </c>
    </row>
    <row r="5" spans="1:34">
      <c r="A5" s="20">
        <v>2</v>
      </c>
      <c r="B5" s="20">
        <v>6</v>
      </c>
      <c r="C5" s="20" t="s">
        <v>69</v>
      </c>
      <c r="D5" s="20"/>
      <c r="E5" s="20"/>
      <c r="F5" s="57"/>
      <c r="G5" s="57"/>
      <c r="H5" s="20">
        <v>3.3679349852292352E-2</v>
      </c>
      <c r="I5" s="20">
        <v>3.2570348895908152E-2</v>
      </c>
      <c r="J5" s="20">
        <v>2.7142096860031932E-2</v>
      </c>
      <c r="K5" s="20">
        <v>3.6821633439285961E-2</v>
      </c>
      <c r="L5">
        <v>3.8112115010233115E-2</v>
      </c>
      <c r="M5">
        <v>2.5701545778834718E-2</v>
      </c>
      <c r="N5">
        <v>0.12379603399433428</v>
      </c>
      <c r="O5">
        <v>2.8947893791175881E-2</v>
      </c>
      <c r="P5" s="56">
        <v>0.60519417475728154</v>
      </c>
      <c r="Q5" s="56">
        <v>0.13548407663616946</v>
      </c>
      <c r="R5">
        <v>2.1255993560203926E-2</v>
      </c>
      <c r="S5">
        <v>7.3601541685289568E-2</v>
      </c>
      <c r="U5" s="20">
        <v>0.47399999999999998</v>
      </c>
      <c r="V5" s="20">
        <v>0.4</v>
      </c>
      <c r="W5" s="20">
        <v>0.105</v>
      </c>
      <c r="X5" s="20">
        <v>4.9000000000000002E-2</v>
      </c>
      <c r="Y5">
        <v>0.114</v>
      </c>
      <c r="Z5">
        <v>8.6999999999999994E-2</v>
      </c>
      <c r="AA5">
        <v>0.49099999999999999</v>
      </c>
      <c r="AB5" s="20">
        <v>1.6E-2</v>
      </c>
      <c r="AC5" s="20">
        <v>0.28199999999999997</v>
      </c>
      <c r="AD5">
        <v>9.3545013469952393E-2</v>
      </c>
      <c r="AE5">
        <v>0.12726888911072906</v>
      </c>
      <c r="AF5">
        <v>2.5668921905279977E-2</v>
      </c>
      <c r="AG5" s="23">
        <v>5.0719470000000003E-2</v>
      </c>
      <c r="AH5">
        <v>0.10095585381484054</v>
      </c>
    </row>
    <row r="6" spans="1:34">
      <c r="A6" s="20">
        <v>3</v>
      </c>
      <c r="B6" s="20">
        <v>9</v>
      </c>
      <c r="C6" s="20" t="s">
        <v>69</v>
      </c>
      <c r="D6" s="59" t="s">
        <v>130</v>
      </c>
      <c r="E6" s="59" t="s">
        <v>131</v>
      </c>
      <c r="F6" s="57"/>
      <c r="G6" s="57"/>
      <c r="H6" s="20">
        <v>3.3480400106329446E-2</v>
      </c>
      <c r="I6" s="20">
        <v>3.5529978509512061E-2</v>
      </c>
      <c r="J6" s="20">
        <v>3.2890617662711709E-2</v>
      </c>
      <c r="K6" s="20">
        <v>3.9294451018577974E-2</v>
      </c>
      <c r="L6">
        <v>3.8740623425892726E-2</v>
      </c>
      <c r="M6">
        <v>4.4863258026159335E-2</v>
      </c>
      <c r="N6">
        <v>0.13025023607176583</v>
      </c>
      <c r="O6">
        <v>3.4541824715512079E-2</v>
      </c>
      <c r="P6" s="56">
        <v>0.60945388349514562</v>
      </c>
      <c r="Q6" s="56">
        <v>0.13930950938824954</v>
      </c>
      <c r="R6">
        <v>1.8899401518951899E-2</v>
      </c>
      <c r="S6">
        <v>7.3833723204801513E-2</v>
      </c>
      <c r="U6" s="20">
        <v>0.35499999999999998</v>
      </c>
      <c r="V6" s="20">
        <v>0.42</v>
      </c>
      <c r="W6" s="20">
        <v>0.108</v>
      </c>
      <c r="X6" s="20">
        <v>4.9000000000000002E-2</v>
      </c>
      <c r="Y6">
        <v>0.126</v>
      </c>
      <c r="Z6">
        <v>8.7999999999999995E-2</v>
      </c>
      <c r="AA6">
        <v>0.46200000000000002</v>
      </c>
      <c r="AB6" s="20">
        <v>1.2E-2</v>
      </c>
      <c r="AC6" s="20">
        <v>0.29399999999999998</v>
      </c>
      <c r="AD6">
        <v>7.0871145177624648E-2</v>
      </c>
      <c r="AE6">
        <v>0.16347223378553216</v>
      </c>
      <c r="AF6">
        <v>3.3148607758474148E-2</v>
      </c>
      <c r="AG6" s="23">
        <v>5.7647009999999999E-2</v>
      </c>
      <c r="AH6">
        <v>8.0376564883429147E-2</v>
      </c>
    </row>
    <row r="7" spans="1:34">
      <c r="A7" s="20">
        <v>4</v>
      </c>
      <c r="B7" s="20">
        <v>12</v>
      </c>
      <c r="C7" s="20" t="s">
        <v>70</v>
      </c>
      <c r="D7" s="59" t="s">
        <v>130</v>
      </c>
      <c r="E7" s="59" t="s">
        <v>131</v>
      </c>
      <c r="F7" s="57"/>
      <c r="G7" s="57"/>
      <c r="H7" s="20">
        <v>3.0683400736615615E-2</v>
      </c>
      <c r="I7" s="20">
        <v>4.2856936812196211E-2</v>
      </c>
      <c r="J7" s="20">
        <v>3.24992956203237E-2</v>
      </c>
      <c r="K7" s="20">
        <v>3.1870691805209898E-2</v>
      </c>
      <c r="L7">
        <v>4.554076682564677E-2</v>
      </c>
      <c r="M7">
        <v>2.9334126040428062E-2</v>
      </c>
      <c r="N7">
        <v>0.14076487252124645</v>
      </c>
      <c r="O7">
        <v>2.6220802555400276E-2</v>
      </c>
      <c r="P7" s="56">
        <v>0.64946601941747584</v>
      </c>
      <c r="Q7" s="56">
        <v>0.13899072332557622</v>
      </c>
      <c r="R7">
        <v>2.0556015726168671E-2</v>
      </c>
      <c r="S7">
        <v>7.7432536757236811E-2</v>
      </c>
      <c r="U7" s="20">
        <v>0.46200000000000002</v>
      </c>
      <c r="V7" s="20">
        <v>0.51400000000000001</v>
      </c>
      <c r="W7" s="20">
        <v>9.7000000000000003E-2</v>
      </c>
      <c r="X7" s="20">
        <v>5.2999999999999999E-2</v>
      </c>
      <c r="Y7">
        <v>0.11899999999999999</v>
      </c>
      <c r="Z7">
        <v>0.08</v>
      </c>
      <c r="AA7">
        <v>0.503</v>
      </c>
      <c r="AB7" s="20">
        <v>1.0999999999999999E-2</v>
      </c>
      <c r="AC7" s="20">
        <v>0.29599999999999999</v>
      </c>
      <c r="AD7">
        <v>9.4617314349636286E-2</v>
      </c>
      <c r="AE7">
        <v>0.14884670944148753</v>
      </c>
      <c r="AF7">
        <v>5.9327508244653722E-2</v>
      </c>
      <c r="AG7" s="23">
        <v>6.615799E-2</v>
      </c>
      <c r="AH7">
        <v>7.3832712043397017E-2</v>
      </c>
    </row>
    <row r="8" spans="1:34">
      <c r="A8" s="20">
        <v>5</v>
      </c>
      <c r="B8" s="20">
        <v>15</v>
      </c>
      <c r="C8" s="20" t="s">
        <v>70</v>
      </c>
      <c r="D8" s="59" t="s">
        <v>130</v>
      </c>
      <c r="E8" s="59" t="s">
        <v>131</v>
      </c>
      <c r="F8" s="57"/>
      <c r="G8" s="57"/>
      <c r="H8" s="20">
        <v>4.0970272895521291E-2</v>
      </c>
      <c r="I8" s="20">
        <v>8.1686931187169173E-2</v>
      </c>
      <c r="J8" s="20">
        <v>5.5168581535860746E-2</v>
      </c>
      <c r="K8" s="20">
        <v>7.4587819516155562E-2</v>
      </c>
      <c r="L8">
        <v>5.0051505924315787E-2</v>
      </c>
      <c r="M8">
        <v>2.7633769322235435E-2</v>
      </c>
      <c r="N8">
        <v>0.16715769593956564</v>
      </c>
      <c r="O8">
        <v>3.950489119584747E-2</v>
      </c>
      <c r="P8" s="56">
        <v>0.71016990291262128</v>
      </c>
      <c r="Q8" s="56">
        <v>0.23813318881698492</v>
      </c>
      <c r="R8">
        <v>2.0859339454250614E-2</v>
      </c>
      <c r="S8">
        <v>6.9886637373098276E-2</v>
      </c>
      <c r="U8" s="20">
        <v>0.44800000000000001</v>
      </c>
      <c r="V8" s="20">
        <v>0.76500000000000001</v>
      </c>
      <c r="W8" s="20">
        <v>0.12</v>
      </c>
      <c r="X8" s="20">
        <v>6.3E-2</v>
      </c>
      <c r="Y8">
        <v>0.14399999999999999</v>
      </c>
      <c r="Z8">
        <v>0.13500000000000001</v>
      </c>
      <c r="AA8">
        <v>0.61</v>
      </c>
      <c r="AB8" s="20">
        <v>2.3E-2</v>
      </c>
      <c r="AC8" s="20">
        <v>0.36499999999999999</v>
      </c>
      <c r="AD8">
        <v>0.14264911270411776</v>
      </c>
      <c r="AE8">
        <v>0.1622926314906174</v>
      </c>
      <c r="AF8">
        <v>3.1533675585625406E-2</v>
      </c>
      <c r="AG8" s="23">
        <v>7.6549290000000006E-2</v>
      </c>
      <c r="AH8">
        <v>8.7823018115189846E-2</v>
      </c>
    </row>
    <row r="9" spans="1:34">
      <c r="A9" s="20">
        <v>6</v>
      </c>
      <c r="B9" s="20">
        <v>18</v>
      </c>
      <c r="C9" s="20" t="s">
        <v>70</v>
      </c>
      <c r="D9" s="59" t="s">
        <v>130</v>
      </c>
      <c r="E9" s="59" t="s">
        <v>131</v>
      </c>
      <c r="F9" s="57"/>
      <c r="G9" s="57"/>
      <c r="H9" s="20">
        <v>0.23247027038775137</v>
      </c>
      <c r="I9" s="20">
        <v>0.27115514978437399</v>
      </c>
      <c r="J9" s="20">
        <v>0.25472325705162319</v>
      </c>
      <c r="K9" s="20">
        <v>0.32850797828590228</v>
      </c>
      <c r="L9">
        <v>8.9293574692666189E-2</v>
      </c>
      <c r="M9">
        <v>0.21048751486325801</v>
      </c>
      <c r="N9">
        <v>0.38907932011331442</v>
      </c>
      <c r="O9">
        <v>0.1198422838889998</v>
      </c>
      <c r="P9" s="56">
        <v>1.086759708737864</v>
      </c>
      <c r="Q9" s="56">
        <v>1.6092320443750201</v>
      </c>
      <c r="R9">
        <v>0.13903893043386956</v>
      </c>
      <c r="S9">
        <v>0.31826281787101157</v>
      </c>
      <c r="U9" s="20">
        <v>1.4330000000000001</v>
      </c>
      <c r="V9" s="20">
        <v>0.749</v>
      </c>
      <c r="W9" s="20">
        <v>0.41</v>
      </c>
      <c r="X9" s="20">
        <v>0.249</v>
      </c>
      <c r="Y9">
        <v>0.48299999999999998</v>
      </c>
      <c r="Z9">
        <v>0.45800000000000002</v>
      </c>
      <c r="AA9">
        <v>1.839</v>
      </c>
      <c r="AB9" s="20">
        <v>0.19700000000000001</v>
      </c>
      <c r="AC9" s="20">
        <v>0.82499999999999996</v>
      </c>
      <c r="AD9">
        <v>0.3681798023524428</v>
      </c>
      <c r="AE9">
        <v>0.10214330498820805</v>
      </c>
      <c r="AF9">
        <v>0.15477849930302928</v>
      </c>
      <c r="AG9" s="23">
        <v>0.43955228000000002</v>
      </c>
      <c r="AH9">
        <v>0.27786553059364028</v>
      </c>
    </row>
    <row r="10" spans="1:34">
      <c r="A10" s="20">
        <v>7</v>
      </c>
      <c r="B10" s="20">
        <v>21</v>
      </c>
      <c r="C10" s="20" t="s">
        <v>70</v>
      </c>
      <c r="D10" s="59" t="s">
        <v>130</v>
      </c>
      <c r="E10" s="59" t="s">
        <v>131</v>
      </c>
      <c r="F10" s="57"/>
      <c r="G10" s="57"/>
      <c r="H10" s="20">
        <v>0.11407343753395939</v>
      </c>
      <c r="I10" s="20">
        <v>0.21896066808013501</v>
      </c>
      <c r="J10" s="20">
        <v>0.1585402122530758</v>
      </c>
      <c r="K10" s="20">
        <v>0.25625500798624562</v>
      </c>
      <c r="L10">
        <v>6.6138598585061908E-2</v>
      </c>
      <c r="M10">
        <v>0.14507134363852559</v>
      </c>
      <c r="N10">
        <v>0.23497639282341831</v>
      </c>
      <c r="O10">
        <v>6.9331203833100416E-2</v>
      </c>
      <c r="P10" s="56">
        <v>0.80853155339805827</v>
      </c>
      <c r="Q10" s="56">
        <v>1.2751442506933597</v>
      </c>
      <c r="R10">
        <v>9.9303522055134902E-2</v>
      </c>
      <c r="S10">
        <v>0.16734483018824117</v>
      </c>
      <c r="U10" s="20">
        <v>0.96099999999999997</v>
      </c>
      <c r="V10" s="20">
        <v>0.64300000000000002</v>
      </c>
      <c r="W10" s="20">
        <v>0.25</v>
      </c>
      <c r="X10" s="20">
        <v>0.151</v>
      </c>
      <c r="Y10">
        <v>0.26500000000000001</v>
      </c>
      <c r="Z10">
        <v>0.27700000000000002</v>
      </c>
      <c r="AA10">
        <v>1.1819999999999999</v>
      </c>
      <c r="AB10" s="20">
        <v>0.14399999999999999</v>
      </c>
      <c r="AC10" s="20">
        <v>0.55500000000000005</v>
      </c>
      <c r="AD10">
        <v>0.24196932689952805</v>
      </c>
      <c r="AE10">
        <v>0.10147725833416522</v>
      </c>
      <c r="AF10">
        <v>0.21351103253663345</v>
      </c>
      <c r="AG10" s="23">
        <v>0.24988619000000001</v>
      </c>
      <c r="AH10">
        <v>0.21504454332933179</v>
      </c>
    </row>
    <row r="11" spans="1:34">
      <c r="A11" s="20">
        <v>8</v>
      </c>
      <c r="B11" s="20">
        <v>24</v>
      </c>
      <c r="C11" s="20" t="s">
        <v>70</v>
      </c>
      <c r="D11" s="59" t="s">
        <v>130</v>
      </c>
      <c r="E11" s="59" t="s">
        <v>131</v>
      </c>
      <c r="F11" s="57"/>
      <c r="G11" s="57"/>
      <c r="H11" s="20">
        <v>0.10016033008939365</v>
      </c>
      <c r="I11" s="20">
        <v>0.16772676791715344</v>
      </c>
      <c r="J11" s="20">
        <v>0.12382603387283597</v>
      </c>
      <c r="K11" s="20">
        <v>0.2176557052571253</v>
      </c>
      <c r="L11">
        <v>6.1496258446290891E-2</v>
      </c>
      <c r="M11">
        <v>0.145410225921522</v>
      </c>
      <c r="N11">
        <v>0.20089707271010387</v>
      </c>
      <c r="O11">
        <v>6.3383908963865046E-2</v>
      </c>
      <c r="P11" s="56">
        <v>0.62412621359223308</v>
      </c>
      <c r="Q11" s="56">
        <v>1.0539067231980619</v>
      </c>
      <c r="R11">
        <v>8.3764014139552243E-2</v>
      </c>
      <c r="S11">
        <v>0.20275251191381422</v>
      </c>
      <c r="U11" s="20">
        <v>0.84799999999999998</v>
      </c>
      <c r="V11" s="20">
        <v>0.498</v>
      </c>
      <c r="W11" s="20">
        <v>0.192</v>
      </c>
      <c r="X11" s="20">
        <v>0.109</v>
      </c>
      <c r="Y11">
        <v>0.24199999999999999</v>
      </c>
      <c r="Z11">
        <v>0.214</v>
      </c>
      <c r="AA11">
        <v>0.88500000000000001</v>
      </c>
      <c r="AB11" s="20">
        <v>0.13200000000000001</v>
      </c>
      <c r="AC11" s="20">
        <v>0.5</v>
      </c>
      <c r="AD11">
        <v>0.22733771520482932</v>
      </c>
      <c r="AE11">
        <v>0.1276494984723936</v>
      </c>
      <c r="AF11">
        <v>0.16344813517832252</v>
      </c>
      <c r="AG11" s="23">
        <v>0.19263504000000001</v>
      </c>
      <c r="AH11">
        <v>0.20678574974501537</v>
      </c>
    </row>
    <row r="12" spans="1:34">
      <c r="A12" s="20">
        <v>9</v>
      </c>
      <c r="B12" s="20">
        <v>27</v>
      </c>
      <c r="C12" s="20" t="s">
        <v>70</v>
      </c>
      <c r="D12" s="59" t="s">
        <v>130</v>
      </c>
      <c r="E12" s="59" t="s">
        <v>131</v>
      </c>
      <c r="F12" s="57"/>
      <c r="G12" s="57"/>
      <c r="H12" s="20">
        <v>9.2326056899627348E-2</v>
      </c>
      <c r="I12" s="20">
        <v>0.25817431814576031</v>
      </c>
      <c r="J12" s="20">
        <v>0.21494537144288264</v>
      </c>
      <c r="K12" s="20">
        <v>0.24672988447802854</v>
      </c>
      <c r="L12">
        <v>6.4434592014085842E-2</v>
      </c>
      <c r="M12">
        <v>0.11998810939357908</v>
      </c>
      <c r="N12">
        <v>0.28291784702549577</v>
      </c>
      <c r="O12">
        <v>6.9820323417847885E-2</v>
      </c>
      <c r="P12" s="56">
        <v>0.87050970873786415</v>
      </c>
      <c r="Q12" s="56">
        <v>1.1874780834581913</v>
      </c>
      <c r="R12">
        <v>0.10912654432609632</v>
      </c>
      <c r="S12">
        <v>0.19543879404918768</v>
      </c>
      <c r="U12" s="20">
        <v>0.81100000000000005</v>
      </c>
      <c r="V12" s="20">
        <v>0.56599999999999995</v>
      </c>
      <c r="W12" s="20">
        <v>0.253</v>
      </c>
      <c r="X12" s="20">
        <v>0.16500000000000001</v>
      </c>
      <c r="Y12">
        <v>0.33900000000000002</v>
      </c>
      <c r="Z12">
        <v>0.33300000000000002</v>
      </c>
      <c r="AA12">
        <v>1.383</v>
      </c>
      <c r="AB12" s="20">
        <v>0.14599999999999999</v>
      </c>
      <c r="AC12" s="20">
        <v>0.502</v>
      </c>
      <c r="AD12">
        <v>0.21706480801180855</v>
      </c>
      <c r="AE12">
        <v>0.10397928679082438</v>
      </c>
      <c r="AF12">
        <v>0.21274606466528406</v>
      </c>
      <c r="AG12" s="23">
        <v>0.26057438999999999</v>
      </c>
      <c r="AH12">
        <v>0.21644357393651109</v>
      </c>
    </row>
    <row r="13" spans="1:34">
      <c r="A13" s="20">
        <v>10</v>
      </c>
      <c r="B13" s="20">
        <v>30</v>
      </c>
      <c r="C13" s="20" t="s">
        <v>70</v>
      </c>
      <c r="D13" s="59" t="s">
        <v>130</v>
      </c>
      <c r="E13" s="20"/>
      <c r="F13" s="57"/>
      <c r="G13" s="57"/>
      <c r="H13" s="20">
        <v>0.11963065564808301</v>
      </c>
      <c r="I13" s="20">
        <v>0.22556646906956285</v>
      </c>
      <c r="J13" s="20">
        <v>0.19913204770998341</v>
      </c>
      <c r="K13" s="20">
        <v>0.27155357682980541</v>
      </c>
      <c r="L13">
        <v>6.9231223027459238E-2</v>
      </c>
      <c r="M13">
        <v>0.1296373365041617</v>
      </c>
      <c r="N13">
        <v>0.25625118035882904</v>
      </c>
      <c r="O13">
        <v>7.3571571171890601E-2</v>
      </c>
      <c r="P13" s="56">
        <v>0.72572815533980595</v>
      </c>
      <c r="Q13" s="56">
        <v>1.2231821224776054</v>
      </c>
      <c r="R13">
        <v>0.11106314966692721</v>
      </c>
      <c r="S13">
        <v>0.20466800944978783</v>
      </c>
      <c r="U13" s="20">
        <v>0.89100000000000001</v>
      </c>
      <c r="V13" s="20">
        <v>0.56799999999999995</v>
      </c>
      <c r="W13" s="20">
        <v>0.252</v>
      </c>
      <c r="X13" s="20">
        <v>0.127</v>
      </c>
      <c r="Y13">
        <v>0.27500000000000002</v>
      </c>
      <c r="Z13">
        <v>0.254</v>
      </c>
      <c r="AA13">
        <v>1.171</v>
      </c>
      <c r="AB13" s="20">
        <v>0.13400000000000001</v>
      </c>
      <c r="AC13" s="20">
        <v>0.60899999999999999</v>
      </c>
      <c r="AD13">
        <v>0.23696194655705369</v>
      </c>
      <c r="AE13">
        <v>9.1291216404529169E-2</v>
      </c>
      <c r="AF13">
        <v>0.2078162717165879</v>
      </c>
      <c r="AG13" s="23">
        <v>0.27052036000000002</v>
      </c>
      <c r="AH13">
        <v>0.22091144587556749</v>
      </c>
    </row>
    <row r="14" spans="1:34">
      <c r="A14" s="20">
        <v>11</v>
      </c>
      <c r="B14" s="20">
        <v>33</v>
      </c>
      <c r="C14" s="20" t="s">
        <v>70</v>
      </c>
      <c r="D14" s="59" t="s">
        <v>130</v>
      </c>
      <c r="E14" s="20"/>
      <c r="F14" s="57"/>
      <c r="G14" s="57"/>
      <c r="H14" s="20">
        <v>0.10764853103198077</v>
      </c>
      <c r="I14" s="20">
        <v>0.20423175111418806</v>
      </c>
      <c r="J14" s="20">
        <v>0.25310318379613689</v>
      </c>
      <c r="K14" s="20">
        <v>0.2915749088612834</v>
      </c>
      <c r="L14">
        <v>7.3374386807222622E-2</v>
      </c>
      <c r="M14">
        <v>0.15214030915576696</v>
      </c>
      <c r="N14">
        <v>0.30129839471199243</v>
      </c>
      <c r="O14">
        <v>7.6831702934717513E-2</v>
      </c>
      <c r="P14" s="56">
        <v>0.83929611650485436</v>
      </c>
      <c r="Q14" s="56">
        <v>1.1932162325863112</v>
      </c>
      <c r="R14">
        <v>0.11715295682303392</v>
      </c>
      <c r="S14">
        <v>0.2176701745424573</v>
      </c>
      <c r="U14" s="20">
        <v>0.80800000000000005</v>
      </c>
      <c r="V14" s="20">
        <v>0.61199999999999999</v>
      </c>
      <c r="W14" s="20">
        <v>0.26300000000000001</v>
      </c>
      <c r="X14" s="20">
        <v>0.17199999999999999</v>
      </c>
      <c r="Y14">
        <v>0.317</v>
      </c>
      <c r="Z14">
        <v>0.315</v>
      </c>
      <c r="AA14">
        <v>1.4219999999999999</v>
      </c>
      <c r="AB14" s="20">
        <v>0.151</v>
      </c>
      <c r="AC14" s="20">
        <v>0.59</v>
      </c>
      <c r="AD14">
        <v>0.18318804318327742</v>
      </c>
      <c r="AE14">
        <v>9.3116136887318277E-2</v>
      </c>
      <c r="AF14">
        <v>0.18095739978920886</v>
      </c>
      <c r="AG14" s="23">
        <v>0.33920194999999997</v>
      </c>
      <c r="AH14">
        <v>0.2213627460714318</v>
      </c>
    </row>
    <row r="15" spans="1:34">
      <c r="A15" s="20">
        <v>12</v>
      </c>
      <c r="B15" s="20">
        <v>36</v>
      </c>
      <c r="C15" s="20" t="s">
        <v>70</v>
      </c>
      <c r="D15" s="59" t="s">
        <v>130</v>
      </c>
      <c r="E15" s="20"/>
      <c r="F15" s="57"/>
      <c r="G15" s="57"/>
      <c r="H15" s="20">
        <v>0.12796146727945418</v>
      </c>
      <c r="I15" s="20">
        <v>0.25677238832879001</v>
      </c>
      <c r="J15" s="20">
        <v>0.23109131891181164</v>
      </c>
      <c r="K15" s="20">
        <v>0.26758433316175728</v>
      </c>
      <c r="L15">
        <v>6.7969668229239943E-2</v>
      </c>
      <c r="M15">
        <v>0.16947086801426872</v>
      </c>
      <c r="N15">
        <v>0.34579792256846081</v>
      </c>
      <c r="O15">
        <v>7.6386504292273907E-2</v>
      </c>
      <c r="P15" s="56">
        <v>0.84526699029126207</v>
      </c>
      <c r="Q15" s="56">
        <v>1.1900283719595779</v>
      </c>
      <c r="R15">
        <v>0.11971954221449653</v>
      </c>
      <c r="S15">
        <v>0.24622850144242772</v>
      </c>
      <c r="U15" s="20">
        <v>1.056</v>
      </c>
      <c r="V15" s="20">
        <v>0.63500000000000001</v>
      </c>
      <c r="W15" s="20">
        <v>0.31900000000000001</v>
      </c>
      <c r="X15" s="20">
        <v>0.17399999999999999</v>
      </c>
      <c r="Y15">
        <v>0.37</v>
      </c>
      <c r="Z15">
        <v>0.246</v>
      </c>
      <c r="AA15">
        <v>1.381</v>
      </c>
      <c r="AB15" s="20">
        <v>0.155</v>
      </c>
      <c r="AC15" s="20">
        <v>0.69799999999999995</v>
      </c>
      <c r="AD15">
        <v>0.27222542147381801</v>
      </c>
      <c r="AE15">
        <v>8.1968575592678269E-2</v>
      </c>
      <c r="AF15">
        <v>0.19166694998810049</v>
      </c>
      <c r="AG15" s="23">
        <v>0.32153672999999999</v>
      </c>
      <c r="AH15">
        <v>0.23201343069382893</v>
      </c>
    </row>
    <row r="16" spans="1:34">
      <c r="A16" s="20">
        <v>13</v>
      </c>
      <c r="B16" s="20">
        <v>39</v>
      </c>
      <c r="C16" s="20" t="s">
        <v>70</v>
      </c>
      <c r="D16" s="59" t="s">
        <v>130</v>
      </c>
      <c r="E16" s="20"/>
      <c r="F16" s="57"/>
      <c r="G16" s="57"/>
      <c r="H16" s="20">
        <v>0.12804171591648125</v>
      </c>
      <c r="I16" s="20">
        <v>0.27127341958374801</v>
      </c>
      <c r="J16" s="20">
        <v>0.2643106470901293</v>
      </c>
      <c r="K16" s="20">
        <v>0.27064616952066606</v>
      </c>
      <c r="L16">
        <v>7.4647286522692105E-2</v>
      </c>
      <c r="M16">
        <v>0.16375743162901307</v>
      </c>
      <c r="N16">
        <v>0.3829272898961284</v>
      </c>
      <c r="O16">
        <v>8.947893791175883E-2</v>
      </c>
      <c r="P16" s="56">
        <v>0.88543689320388341</v>
      </c>
      <c r="Q16" s="56">
        <v>1.1983168095890848</v>
      </c>
      <c r="R16">
        <v>0.14169884620320355</v>
      </c>
      <c r="S16">
        <v>0.2197017628381869</v>
      </c>
      <c r="U16" s="20">
        <v>0.81200000000000006</v>
      </c>
      <c r="V16" s="20">
        <v>0.49399999999999999</v>
      </c>
      <c r="W16" s="20">
        <v>0.28199999999999997</v>
      </c>
      <c r="X16" s="20">
        <v>0.16400000000000001</v>
      </c>
      <c r="Y16">
        <v>0.31900000000000001</v>
      </c>
      <c r="Z16">
        <v>0.28399999999999997</v>
      </c>
      <c r="AA16">
        <v>1.2869999999999999</v>
      </c>
      <c r="AB16" s="20">
        <v>0.157</v>
      </c>
      <c r="AC16" s="20">
        <v>0.64800000000000002</v>
      </c>
      <c r="AD16">
        <v>0.21796832079006073</v>
      </c>
      <c r="AE16">
        <v>0.10475209293718288</v>
      </c>
      <c r="AF16">
        <v>0.1621731887260735</v>
      </c>
      <c r="AG16" s="23">
        <v>0.26428557000000003</v>
      </c>
      <c r="AH16">
        <v>0.24735763735321462</v>
      </c>
    </row>
    <row r="17" spans="1:34">
      <c r="A17" s="20">
        <v>14</v>
      </c>
      <c r="B17" s="20">
        <v>42</v>
      </c>
      <c r="C17" s="20" t="s">
        <v>69</v>
      </c>
      <c r="D17" s="59" t="s">
        <v>130</v>
      </c>
      <c r="E17" s="20"/>
      <c r="F17" s="57"/>
      <c r="G17" s="57"/>
      <c r="H17" s="20">
        <v>0.14089654446025268</v>
      </c>
      <c r="I17" s="20">
        <v>0.20682791744191079</v>
      </c>
      <c r="J17" s="20">
        <v>0.27552202360454559</v>
      </c>
      <c r="K17" s="20">
        <v>0.23081576447739177</v>
      </c>
      <c r="L17">
        <v>8.1674328267449622E-2</v>
      </c>
      <c r="M17">
        <v>0.18136147443519618</v>
      </c>
      <c r="N17">
        <v>0.35080264400377714</v>
      </c>
      <c r="O17">
        <v>5.8197244959073663E-2</v>
      </c>
      <c r="P17" s="56">
        <v>0.94617718446601951</v>
      </c>
      <c r="Q17" s="56">
        <v>1.241671714112659</v>
      </c>
      <c r="R17">
        <v>0.12212279944468424</v>
      </c>
      <c r="S17">
        <v>0.23165911109305254</v>
      </c>
      <c r="U17" s="20">
        <v>1.03</v>
      </c>
      <c r="V17" s="20">
        <v>0.61199999999999999</v>
      </c>
      <c r="W17" s="20">
        <v>0.215</v>
      </c>
      <c r="X17" s="20">
        <v>0.191</v>
      </c>
      <c r="Y17">
        <v>0.34699999999999998</v>
      </c>
      <c r="Z17">
        <v>0.28599999999999998</v>
      </c>
      <c r="AA17">
        <v>1.234</v>
      </c>
      <c r="AB17" s="20">
        <v>0.16400000000000001</v>
      </c>
      <c r="AC17" s="20">
        <v>0.65</v>
      </c>
      <c r="AD17">
        <v>0.26649324516637207</v>
      </c>
      <c r="AE17">
        <v>0.116661359600614</v>
      </c>
      <c r="AF17">
        <v>0.16472308163057151</v>
      </c>
      <c r="AG17" s="23">
        <v>0.35706510000000002</v>
      </c>
      <c r="AH17">
        <v>0.24776380752949248</v>
      </c>
    </row>
    <row r="18" spans="1:34">
      <c r="A18" s="20">
        <v>15</v>
      </c>
      <c r="B18" s="20">
        <v>45</v>
      </c>
      <c r="C18" s="20" t="s">
        <v>69</v>
      </c>
      <c r="D18" s="59" t="s">
        <v>130</v>
      </c>
      <c r="E18" s="20"/>
      <c r="F18" s="57"/>
      <c r="G18" s="57"/>
      <c r="H18" s="20">
        <v>0.13080026281428625</v>
      </c>
      <c r="I18" s="20">
        <v>0.2172125827528017</v>
      </c>
      <c r="J18" s="20">
        <v>0.26571940644272612</v>
      </c>
      <c r="K18" s="20">
        <v>0.29655238287281971</v>
      </c>
      <c r="L18">
        <v>8.2166697676107153E-2</v>
      </c>
      <c r="M18">
        <v>0.14101664684898929</v>
      </c>
      <c r="N18">
        <v>0.36941454202077434</v>
      </c>
      <c r="O18">
        <v>9.7129167498502686E-2</v>
      </c>
      <c r="P18" s="56">
        <v>0.83292475728155346</v>
      </c>
      <c r="Q18" s="56">
        <v>1.2569734451209793</v>
      </c>
      <c r="R18">
        <v>0.13371909889520164</v>
      </c>
      <c r="S18">
        <v>0.26230707166863054</v>
      </c>
      <c r="U18" s="20">
        <v>1.0449999999999999</v>
      </c>
      <c r="V18" s="20">
        <v>0.502</v>
      </c>
      <c r="W18" s="20">
        <v>0.27300000000000002</v>
      </c>
      <c r="X18" s="20">
        <v>0.189</v>
      </c>
      <c r="Y18">
        <v>0.35499999999999998</v>
      </c>
      <c r="Z18">
        <v>0.32600000000000001</v>
      </c>
      <c r="AA18">
        <v>1.464</v>
      </c>
      <c r="AB18" s="20">
        <v>0.17299999999999999</v>
      </c>
      <c r="AC18" s="20">
        <v>0.74</v>
      </c>
      <c r="AD18">
        <v>0.28737001661404449</v>
      </c>
      <c r="AE18">
        <v>0.12674712625990206</v>
      </c>
      <c r="AF18">
        <v>0.16395811375922212</v>
      </c>
      <c r="AG18" s="23">
        <v>0.36052887</v>
      </c>
      <c r="AH18">
        <v>0.25484922060456172</v>
      </c>
    </row>
    <row r="19" spans="1:34">
      <c r="A19" s="20">
        <v>16</v>
      </c>
      <c r="B19" s="20">
        <v>48</v>
      </c>
      <c r="C19" s="20" t="s">
        <v>69</v>
      </c>
      <c r="D19" s="59" t="s">
        <v>130</v>
      </c>
      <c r="E19" s="20"/>
      <c r="F19" s="57"/>
      <c r="G19" s="57"/>
      <c r="H19" s="20">
        <v>0.10730245878480159</v>
      </c>
      <c r="I19" s="20">
        <v>0.20538560281539814</v>
      </c>
      <c r="J19" s="20">
        <v>0.22133566039507874</v>
      </c>
      <c r="K19" s="20">
        <v>0.21447181996189948</v>
      </c>
      <c r="L19">
        <v>8.3609771150329221E-2</v>
      </c>
      <c r="M19">
        <v>0.14525564803804994</v>
      </c>
      <c r="N19">
        <v>0.31963644948064213</v>
      </c>
      <c r="O19">
        <v>6.7057296865641852E-2</v>
      </c>
      <c r="P19" s="56">
        <v>0.7468567961165048</v>
      </c>
      <c r="Q19" s="56">
        <v>1.1316905224903566</v>
      </c>
      <c r="R19">
        <v>0.11780626946813351</v>
      </c>
      <c r="S19">
        <v>0.28210054620702468</v>
      </c>
      <c r="U19" s="20">
        <v>0.97899999999999998</v>
      </c>
      <c r="V19" s="20">
        <v>0.57799999999999996</v>
      </c>
      <c r="W19" s="20">
        <v>0.23200000000000001</v>
      </c>
      <c r="X19" s="20">
        <v>0.14099999999999999</v>
      </c>
      <c r="Y19">
        <v>0.33400000000000002</v>
      </c>
      <c r="Z19">
        <v>0.34100000000000003</v>
      </c>
      <c r="AA19">
        <v>1.0609999999999999</v>
      </c>
      <c r="AB19" s="20">
        <v>0.16300000000000001</v>
      </c>
      <c r="AC19" s="20">
        <v>0.69099999999999995</v>
      </c>
      <c r="AD19">
        <v>0.24838327475393343</v>
      </c>
      <c r="AE19">
        <v>0.14624683894179075</v>
      </c>
      <c r="AF19">
        <v>0.20186652160609253</v>
      </c>
      <c r="AG19" s="23">
        <v>0.25839717000000001</v>
      </c>
      <c r="AH19">
        <v>0.29560162829110664</v>
      </c>
    </row>
    <row r="20" spans="1:34">
      <c r="A20" s="20">
        <v>17</v>
      </c>
      <c r="B20" s="20">
        <v>51</v>
      </c>
      <c r="C20" s="20" t="s">
        <v>69</v>
      </c>
      <c r="D20" s="59" t="s">
        <v>130</v>
      </c>
      <c r="E20" s="20"/>
      <c r="F20" s="57"/>
      <c r="G20" s="57"/>
      <c r="H20" s="20">
        <v>6.9908265776798442E-2</v>
      </c>
      <c r="I20" s="20">
        <v>0.16539598748070902</v>
      </c>
      <c r="J20" s="20">
        <v>0.10894014338039633</v>
      </c>
      <c r="K20" s="20">
        <v>0.19605835000451052</v>
      </c>
      <c r="L20">
        <v>7.4767542645543944E-2</v>
      </c>
      <c r="M20">
        <v>9.3329369797859704E-2</v>
      </c>
      <c r="N20">
        <v>0.33330500472143532</v>
      </c>
      <c r="O20">
        <v>6.4200439209423046E-2</v>
      </c>
      <c r="P20" s="56">
        <v>0.72564320388349524</v>
      </c>
      <c r="Q20" s="56">
        <v>0.78612643055245635</v>
      </c>
      <c r="R20">
        <v>7.6927563960474579E-2</v>
      </c>
      <c r="S20">
        <v>0.19956001602052487</v>
      </c>
      <c r="U20" s="20">
        <v>0.89900000000000002</v>
      </c>
      <c r="V20" s="20">
        <v>0.54300000000000004</v>
      </c>
      <c r="W20" s="20">
        <v>0.20799999999999999</v>
      </c>
      <c r="X20" s="20">
        <v>0.11600000000000001</v>
      </c>
      <c r="Y20">
        <v>0.216</v>
      </c>
      <c r="Z20">
        <v>0.189</v>
      </c>
      <c r="AA20">
        <v>0.98</v>
      </c>
      <c r="AB20" s="20">
        <v>0.11</v>
      </c>
      <c r="AC20" s="20">
        <v>0.6</v>
      </c>
      <c r="AD20">
        <v>0.2111340574673842</v>
      </c>
      <c r="AE20">
        <v>0.1602338055241099</v>
      </c>
      <c r="AF20">
        <v>0.19013701424540169</v>
      </c>
      <c r="AG20" s="23">
        <v>0.23637749</v>
      </c>
      <c r="AH20">
        <v>0.2309303102237546</v>
      </c>
    </row>
    <row r="21" spans="1:34">
      <c r="A21" s="20">
        <v>18</v>
      </c>
      <c r="B21" s="20">
        <v>54</v>
      </c>
      <c r="C21" s="20" t="s">
        <v>69</v>
      </c>
      <c r="D21" s="59" t="s">
        <v>130</v>
      </c>
      <c r="E21" s="20"/>
      <c r="F21" s="57"/>
      <c r="G21" s="57"/>
      <c r="H21" s="20">
        <v>3.3025657829842799E-2</v>
      </c>
      <c r="I21" s="20">
        <v>0.10530339088168693</v>
      </c>
      <c r="J21" s="20">
        <v>6.3151551200576014E-2</v>
      </c>
      <c r="K21" s="20">
        <v>0.14054200340675727</v>
      </c>
      <c r="L21">
        <v>7.0025367234971381E-2</v>
      </c>
      <c r="M21">
        <v>9.9857312722948871E-2</v>
      </c>
      <c r="N21">
        <v>0.26659584513692164</v>
      </c>
      <c r="O21">
        <v>6.5779596725893397E-2</v>
      </c>
      <c r="P21" s="56">
        <v>0.55148058252427179</v>
      </c>
      <c r="Q21" s="56">
        <v>0.49252446683031015</v>
      </c>
      <c r="R21">
        <v>5.8938133625768503E-2</v>
      </c>
      <c r="S21">
        <v>0.14238531684070604</v>
      </c>
      <c r="U21" s="20">
        <v>0.85899999999999999</v>
      </c>
      <c r="V21" s="20">
        <v>0.40600000000000003</v>
      </c>
      <c r="W21" s="20">
        <v>0.157</v>
      </c>
      <c r="X21" s="20">
        <v>7.0000000000000007E-2</v>
      </c>
      <c r="Y21">
        <v>0.188</v>
      </c>
      <c r="Z21">
        <v>0.05</v>
      </c>
      <c r="AA21">
        <v>0.6</v>
      </c>
      <c r="AB21" s="20">
        <v>8.5000000000000006E-2</v>
      </c>
      <c r="AC21" s="20">
        <v>0.52100000000000002</v>
      </c>
      <c r="AD21">
        <v>0.167765444111281</v>
      </c>
      <c r="AE21">
        <v>0.14582967856015022</v>
      </c>
      <c r="AF21">
        <v>0.17254275320436541</v>
      </c>
      <c r="AG21" s="23">
        <v>0.19134849000000001</v>
      </c>
      <c r="AH21">
        <v>0.1353900587592855</v>
      </c>
    </row>
    <row r="22" spans="1:34">
      <c r="A22" s="20">
        <v>19</v>
      </c>
      <c r="B22" s="20">
        <v>57</v>
      </c>
      <c r="C22" s="20" t="s">
        <v>69</v>
      </c>
      <c r="D22" s="59" t="s">
        <v>130</v>
      </c>
      <c r="E22" s="20"/>
      <c r="F22" s="57"/>
      <c r="G22" s="57"/>
      <c r="H22" s="20">
        <v>3.8599594410013698E-2</v>
      </c>
      <c r="I22" s="20">
        <v>0.10691878326338107</v>
      </c>
      <c r="J22" s="20">
        <v>6.2443258303853735E-2</v>
      </c>
      <c r="K22" s="20">
        <v>0.10993955924414563</v>
      </c>
      <c r="L22">
        <v>6.9778048038917601E-2</v>
      </c>
      <c r="M22">
        <v>5.2491082045184302E-2</v>
      </c>
      <c r="N22">
        <v>0.37474976392823417</v>
      </c>
      <c r="O22">
        <v>6.2858854062687167E-2</v>
      </c>
      <c r="P22" s="56">
        <v>0.65848300970873785</v>
      </c>
      <c r="Q22" s="56">
        <v>0.34237623131116712</v>
      </c>
      <c r="R22">
        <v>4.5265233267613184E-2</v>
      </c>
      <c r="S22">
        <v>0.12653892813401518</v>
      </c>
      <c r="U22" s="20">
        <v>0.63300000000000001</v>
      </c>
      <c r="V22" s="20">
        <v>0.49</v>
      </c>
      <c r="W22" s="20">
        <v>0.183</v>
      </c>
      <c r="X22" s="20">
        <v>9.7000000000000003E-2</v>
      </c>
      <c r="Y22">
        <v>0.251</v>
      </c>
      <c r="Z22">
        <v>7.8E-2</v>
      </c>
      <c r="AA22">
        <v>0.83699999999999997</v>
      </c>
      <c r="AB22" s="20">
        <v>7.5999999999999998E-2</v>
      </c>
      <c r="AC22" s="20">
        <v>0.5</v>
      </c>
      <c r="AD22">
        <v>0.12991057540194734</v>
      </c>
      <c r="AE22">
        <v>0.14423133757398818</v>
      </c>
      <c r="AF22">
        <v>0.1356543025192942</v>
      </c>
      <c r="AG22" s="23">
        <v>0.14815034999999999</v>
      </c>
      <c r="AH22">
        <v>0.12117410258956052</v>
      </c>
    </row>
    <row r="23" spans="1:34">
      <c r="A23" s="20">
        <v>20</v>
      </c>
      <c r="B23" s="20">
        <v>60</v>
      </c>
      <c r="C23" s="20" t="s">
        <v>69</v>
      </c>
      <c r="D23" s="59" t="s">
        <v>130</v>
      </c>
      <c r="E23" s="20"/>
      <c r="F23" s="57"/>
      <c r="G23" s="57"/>
      <c r="H23" s="20">
        <v>2.9810696808946387E-2</v>
      </c>
      <c r="I23" s="20">
        <v>7.5738825667431092E-2</v>
      </c>
      <c r="J23" s="20">
        <v>5.307892182950881E-2</v>
      </c>
      <c r="K23" s="20">
        <v>9.4051971620969066E-2</v>
      </c>
      <c r="L23">
        <v>7.0563116312629612E-2</v>
      </c>
      <c r="M23">
        <v>4.751486325802616E-2</v>
      </c>
      <c r="N23">
        <v>0.31863078375826248</v>
      </c>
      <c r="O23">
        <v>6.5857456578159307E-2</v>
      </c>
      <c r="P23" s="56">
        <v>0.49705097087378641</v>
      </c>
      <c r="Q23" s="56">
        <v>0.40453951353246831</v>
      </c>
      <c r="R23">
        <v>4.0062064701284456E-2</v>
      </c>
      <c r="S23">
        <v>0.11243390082366395</v>
      </c>
      <c r="U23" s="20">
        <v>0.68899999999999995</v>
      </c>
      <c r="V23" s="20">
        <v>0.39800000000000002</v>
      </c>
      <c r="W23" s="20">
        <v>0.14299999999999999</v>
      </c>
      <c r="X23" s="20">
        <v>5.2999999999999999E-2</v>
      </c>
      <c r="Y23">
        <v>0.16</v>
      </c>
      <c r="Z23">
        <v>8.1000000000000003E-2</v>
      </c>
      <c r="AA23">
        <v>0.64300000000000002</v>
      </c>
      <c r="AB23" s="20">
        <v>5.7000000000000002E-2</v>
      </c>
      <c r="AC23" s="20">
        <v>0.504</v>
      </c>
      <c r="AD23">
        <v>0.12532351052774415</v>
      </c>
      <c r="AE23">
        <v>0.13629770128412586</v>
      </c>
      <c r="AF23">
        <v>0.13106449529119776</v>
      </c>
      <c r="AG23" s="23">
        <v>0.10732736</v>
      </c>
      <c r="AH23">
        <v>0.1218059228637705</v>
      </c>
    </row>
    <row r="24" spans="1:34">
      <c r="A24" s="20">
        <v>21</v>
      </c>
      <c r="B24" s="20">
        <v>63</v>
      </c>
      <c r="C24" s="20" t="s">
        <v>71</v>
      </c>
      <c r="D24" s="59" t="s">
        <v>132</v>
      </c>
      <c r="E24" s="59" t="s">
        <v>133</v>
      </c>
      <c r="F24" s="57"/>
      <c r="G24" s="57"/>
      <c r="H24" s="20">
        <v>4.0762963916534736E-2</v>
      </c>
      <c r="I24" s="20">
        <v>8.4822523185207624E-2</v>
      </c>
      <c r="J24" s="20">
        <v>6.1715399305012048E-2</v>
      </c>
      <c r="K24" s="20">
        <v>9.3611534155129503E-2</v>
      </c>
      <c r="L24">
        <v>7.7794366567890239E-2</v>
      </c>
      <c r="M24">
        <v>4.7437574316290136E-2</v>
      </c>
      <c r="N24">
        <v>0.29568932955618504</v>
      </c>
      <c r="O24">
        <v>6.6212816929526852E-2</v>
      </c>
      <c r="P24" s="56">
        <v>0.57256067961165058</v>
      </c>
      <c r="Q24" s="56">
        <v>0.29838375466224615</v>
      </c>
      <c r="R24">
        <v>3.6352182180897599E-2</v>
      </c>
      <c r="S24">
        <v>0.11353676304134573</v>
      </c>
      <c r="U24" s="20">
        <v>0.54400000000000004</v>
      </c>
      <c r="V24" s="20">
        <v>0.43</v>
      </c>
      <c r="W24" s="20">
        <v>0.157</v>
      </c>
      <c r="X24" s="20">
        <v>7.0999999999999994E-2</v>
      </c>
      <c r="Y24">
        <v>0.182</v>
      </c>
      <c r="Z24">
        <v>0.104</v>
      </c>
      <c r="AA24">
        <v>0.72</v>
      </c>
      <c r="AB24" s="20">
        <v>7.3999999999999996E-2</v>
      </c>
      <c r="AC24" s="20">
        <v>0.51800000000000002</v>
      </c>
      <c r="AD24">
        <v>9.4339310417866376E-2</v>
      </c>
      <c r="AE24">
        <v>0.1444236940573092</v>
      </c>
      <c r="AF24">
        <v>8.8396287355931052E-2</v>
      </c>
      <c r="AG24" s="23">
        <v>0.11915365</v>
      </c>
      <c r="AH24">
        <v>0.12257313319673981</v>
      </c>
    </row>
    <row r="25" spans="1:34">
      <c r="A25" s="20">
        <v>22</v>
      </c>
      <c r="B25" s="20">
        <v>66</v>
      </c>
      <c r="C25" s="20" t="s">
        <v>71</v>
      </c>
      <c r="D25" s="59" t="s">
        <v>132</v>
      </c>
      <c r="E25" s="59" t="s">
        <v>133</v>
      </c>
      <c r="F25" s="57"/>
      <c r="G25" s="57"/>
      <c r="H25" s="20">
        <v>5.0145367062281301E-2</v>
      </c>
      <c r="I25" s="20">
        <v>0.13248525233294392</v>
      </c>
      <c r="J25" s="20">
        <v>7.1428012397082297E-2</v>
      </c>
      <c r="K25" s="20">
        <v>0.11215235952432753</v>
      </c>
      <c r="L25">
        <v>8.5837912898263327E-2</v>
      </c>
      <c r="M25">
        <v>5.4244946492271108E-2</v>
      </c>
      <c r="N25">
        <v>0.33354579792256844</v>
      </c>
      <c r="O25">
        <v>5.1996406468356952E-2</v>
      </c>
      <c r="P25" s="56">
        <v>0.80191747572815542</v>
      </c>
      <c r="Q25" s="56">
        <v>0.52599700341101085</v>
      </c>
      <c r="R25">
        <v>5.7538177957698E-2</v>
      </c>
      <c r="S25">
        <v>0.13704514189193112</v>
      </c>
      <c r="U25" s="20">
        <v>0.85099999999999998</v>
      </c>
      <c r="V25" s="20">
        <v>0.41399999999999998</v>
      </c>
      <c r="W25" s="20">
        <v>0.20100000000000001</v>
      </c>
      <c r="X25" s="20">
        <v>0.08</v>
      </c>
      <c r="Y25">
        <v>0.20799999999999999</v>
      </c>
      <c r="Z25">
        <v>0.19</v>
      </c>
      <c r="AA25">
        <v>0.90500000000000003</v>
      </c>
      <c r="AB25" s="20">
        <v>8.3000000000000004E-2</v>
      </c>
      <c r="AC25" s="20">
        <v>0.66400000000000003</v>
      </c>
      <c r="AD25">
        <v>0.17909410433090414</v>
      </c>
      <c r="AE25">
        <v>0.1549122847859766</v>
      </c>
      <c r="AF25">
        <v>0.11185530207731276</v>
      </c>
      <c r="AG25" s="23">
        <v>0.14725965999999999</v>
      </c>
      <c r="AH25">
        <v>0.16458918143170473</v>
      </c>
    </row>
    <row r="26" spans="1:34">
      <c r="A26" s="20">
        <v>23</v>
      </c>
      <c r="B26" s="20">
        <v>69</v>
      </c>
      <c r="C26" s="20" t="s">
        <v>71</v>
      </c>
      <c r="D26" s="59" t="s">
        <v>132</v>
      </c>
      <c r="E26" s="59" t="s">
        <v>133</v>
      </c>
      <c r="F26" s="57"/>
      <c r="G26" s="57"/>
      <c r="H26" s="20">
        <v>0.48919903501013973</v>
      </c>
      <c r="I26" s="20">
        <v>0.60288751388227824</v>
      </c>
      <c r="J26" s="20">
        <v>0.36296684719656891</v>
      </c>
      <c r="K26" s="20">
        <v>0.72812272816518009</v>
      </c>
      <c r="L26">
        <v>0.19106882734397335</v>
      </c>
      <c r="M26">
        <v>0.34969084423305591</v>
      </c>
      <c r="N26">
        <v>1.0075542965061377</v>
      </c>
      <c r="O26">
        <v>0.15026352565382312</v>
      </c>
      <c r="P26" s="56">
        <v>2.6347936893203889</v>
      </c>
      <c r="Q26" s="56">
        <v>2.9455832191016609</v>
      </c>
      <c r="R26">
        <v>0.25745184735816695</v>
      </c>
      <c r="S26">
        <v>0.61017303327741634</v>
      </c>
      <c r="U26" s="20">
        <v>2.573</v>
      </c>
      <c r="V26" s="20">
        <v>1.4970000000000001</v>
      </c>
      <c r="W26" s="20">
        <v>0.67300000000000004</v>
      </c>
      <c r="X26" s="20">
        <v>0.442</v>
      </c>
      <c r="Y26">
        <v>0.879</v>
      </c>
      <c r="Z26">
        <v>0.75</v>
      </c>
      <c r="AA26">
        <v>3.2029999999999998</v>
      </c>
      <c r="AB26" s="20">
        <v>0.31</v>
      </c>
      <c r="AC26" s="20">
        <v>1.6279999999999999</v>
      </c>
      <c r="AD26">
        <v>0.66302944855934387</v>
      </c>
      <c r="AE26">
        <v>0.14222901509140187</v>
      </c>
      <c r="AF26">
        <v>0.19166694998810049</v>
      </c>
      <c r="AG26" s="23">
        <v>0.69245690000000004</v>
      </c>
      <c r="AH26">
        <v>0.2651388650702674</v>
      </c>
    </row>
    <row r="27" spans="1:34">
      <c r="A27" s="20">
        <v>24</v>
      </c>
      <c r="B27" s="20">
        <v>72</v>
      </c>
      <c r="C27" s="20" t="s">
        <v>69</v>
      </c>
      <c r="D27" s="59" t="s">
        <v>132</v>
      </c>
      <c r="E27" s="59" t="s">
        <v>133</v>
      </c>
      <c r="F27" s="57"/>
      <c r="G27" s="57"/>
      <c r="H27" s="20">
        <v>0.31892145831835639</v>
      </c>
      <c r="I27" s="20">
        <v>0.59740671830153025</v>
      </c>
      <c r="J27" s="20">
        <v>0.3939125943086122</v>
      </c>
      <c r="K27" s="20">
        <v>0.49907402002663848</v>
      </c>
      <c r="L27">
        <v>0.17005577161320184</v>
      </c>
      <c r="M27">
        <v>0.37778834720570748</v>
      </c>
      <c r="N27">
        <v>0.86213408876298414</v>
      </c>
      <c r="O27">
        <v>0.12630664803353964</v>
      </c>
      <c r="P27" s="56">
        <v>1.999733009708738</v>
      </c>
      <c r="Q27" s="56">
        <v>2.5611272275176131</v>
      </c>
      <c r="R27">
        <v>0.2576618407083775</v>
      </c>
      <c r="S27">
        <v>0.55566842157198504</v>
      </c>
      <c r="U27" s="20">
        <v>2.3180000000000001</v>
      </c>
      <c r="V27" s="20">
        <v>1.2529999999999999</v>
      </c>
      <c r="W27" s="20">
        <v>0.64100000000000001</v>
      </c>
      <c r="X27" s="20">
        <v>0.311</v>
      </c>
      <c r="Y27">
        <v>0.66500000000000004</v>
      </c>
      <c r="Z27">
        <v>0.66400000000000003</v>
      </c>
      <c r="AA27">
        <v>2.355</v>
      </c>
      <c r="AB27" s="20">
        <v>0.30399999999999999</v>
      </c>
      <c r="AC27" s="20">
        <v>1.0309999999999999</v>
      </c>
      <c r="AD27">
        <v>0.54107508091900158</v>
      </c>
      <c r="AE27">
        <v>0.13014933044818339</v>
      </c>
      <c r="AF27">
        <v>0.31125692720905723</v>
      </c>
      <c r="AG27" s="23">
        <v>0.52035706999999998</v>
      </c>
      <c r="AH27">
        <v>0.23630078255453957</v>
      </c>
    </row>
    <row r="28" spans="1:34">
      <c r="A28" s="20">
        <v>25</v>
      </c>
      <c r="B28" s="20">
        <v>75</v>
      </c>
      <c r="C28" s="20" t="s">
        <v>69</v>
      </c>
      <c r="D28" s="59" t="s">
        <v>132</v>
      </c>
      <c r="E28" s="59" t="s">
        <v>133</v>
      </c>
      <c r="F28" s="57"/>
      <c r="G28" s="57"/>
      <c r="H28" s="20">
        <v>0.29991256242257264</v>
      </c>
      <c r="I28" s="20">
        <v>0.470483031168419</v>
      </c>
      <c r="J28" s="20">
        <v>0.37264032808440034</v>
      </c>
      <c r="K28" s="20">
        <v>0.48915621733201026</v>
      </c>
      <c r="L28">
        <v>0.14091748614785604</v>
      </c>
      <c r="M28">
        <v>0.25255053507728892</v>
      </c>
      <c r="N28">
        <v>1.1421152030217188</v>
      </c>
      <c r="O28">
        <v>0.1263126372529447</v>
      </c>
      <c r="P28" s="56">
        <v>1.7449514563106796</v>
      </c>
      <c r="Q28" s="56">
        <v>2.6554879020689213</v>
      </c>
      <c r="R28">
        <v>0.22000303323728079</v>
      </c>
      <c r="S28">
        <v>0.39795912444348996</v>
      </c>
      <c r="U28" s="20">
        <v>1.881</v>
      </c>
      <c r="V28" s="20">
        <v>1.0640000000000001</v>
      </c>
      <c r="W28" s="20">
        <v>0.51800000000000002</v>
      </c>
      <c r="X28" s="20">
        <v>0.222</v>
      </c>
      <c r="Y28">
        <v>0.45800000000000002</v>
      </c>
      <c r="Z28">
        <v>0.46700000000000003</v>
      </c>
      <c r="AA28">
        <v>2.5649999999999999</v>
      </c>
      <c r="AB28" s="20">
        <v>0.28699999999999998</v>
      </c>
      <c r="AC28" s="20">
        <v>1.125</v>
      </c>
      <c r="AD28">
        <v>0.47561508369904093</v>
      </c>
      <c r="AE28">
        <v>0.14101801758789309</v>
      </c>
      <c r="AF28">
        <v>0.35401013157447386</v>
      </c>
      <c r="AG28" s="23">
        <v>0.54237674000000002</v>
      </c>
      <c r="AH28">
        <v>0.28847108519645098</v>
      </c>
    </row>
    <row r="29" spans="1:34">
      <c r="A29" s="20">
        <v>26</v>
      </c>
      <c r="B29" s="20">
        <v>78</v>
      </c>
      <c r="C29" s="20" t="s">
        <v>69</v>
      </c>
      <c r="D29" s="59" t="s">
        <v>132</v>
      </c>
      <c r="E29" s="59" t="s">
        <v>133</v>
      </c>
      <c r="F29" s="57"/>
      <c r="G29" s="57"/>
      <c r="H29" s="20">
        <v>0.14681989698081221</v>
      </c>
      <c r="I29" s="20">
        <v>0.31788614368338308</v>
      </c>
      <c r="J29" s="20">
        <v>0.34385467864633878</v>
      </c>
      <c r="K29" s="20">
        <v>0.2935489177443234</v>
      </c>
      <c r="L29">
        <v>0.1094058439937739</v>
      </c>
      <c r="M29">
        <v>0.20889417360285376</v>
      </c>
      <c r="N29">
        <v>0.67563739376770549</v>
      </c>
      <c r="O29">
        <v>0.109323218207227</v>
      </c>
      <c r="P29" s="56">
        <v>1.0672936893203884</v>
      </c>
      <c r="Q29" s="56">
        <v>1.8770123370206253</v>
      </c>
      <c r="R29">
        <v>0.18962399524015072</v>
      </c>
      <c r="S29">
        <v>0.46767162567695431</v>
      </c>
      <c r="U29" s="20">
        <v>1.2170000000000001</v>
      </c>
      <c r="V29" s="20">
        <v>0.79900000000000004</v>
      </c>
      <c r="W29" s="20">
        <v>0.52600000000000002</v>
      </c>
      <c r="X29" s="20">
        <v>0.13400000000000001</v>
      </c>
      <c r="Y29">
        <v>0.40400000000000003</v>
      </c>
      <c r="Z29">
        <v>0.47799999999999998</v>
      </c>
      <c r="AA29">
        <v>2.1389999999999998</v>
      </c>
      <c r="AB29" s="20">
        <v>0.28799999999999998</v>
      </c>
      <c r="AC29" s="20">
        <v>0.81399999999999995</v>
      </c>
      <c r="AD29">
        <v>0.25060068706685995</v>
      </c>
      <c r="AE29">
        <v>0.16987216086762835</v>
      </c>
      <c r="AF29">
        <v>0.33845578485703603</v>
      </c>
      <c r="AG29" s="23">
        <v>0.47884132000000001</v>
      </c>
      <c r="AH29">
        <v>0.39732469243891649</v>
      </c>
    </row>
    <row r="30" spans="1:34">
      <c r="A30" s="20">
        <v>27</v>
      </c>
      <c r="B30" s="20">
        <v>81</v>
      </c>
      <c r="C30" s="20" t="s">
        <v>69</v>
      </c>
      <c r="D30" s="59" t="s">
        <v>132</v>
      </c>
      <c r="E30" s="59" t="s">
        <v>133</v>
      </c>
      <c r="F30" s="57"/>
      <c r="G30" s="57"/>
      <c r="H30" s="20">
        <v>7.6705994071631936E-2</v>
      </c>
      <c r="I30" s="20">
        <v>0.18725859258938746</v>
      </c>
      <c r="J30" s="20">
        <v>0.2357715305387722</v>
      </c>
      <c r="K30" s="20">
        <v>0.20133829311909324</v>
      </c>
      <c r="L30">
        <v>8.758729913824008E-2</v>
      </c>
      <c r="M30">
        <v>0.10602853745541024</v>
      </c>
      <c r="N30">
        <v>0.50661000944287071</v>
      </c>
      <c r="O30">
        <v>8.1020163705330411E-2</v>
      </c>
      <c r="P30" s="56">
        <v>0.72518203883495147</v>
      </c>
      <c r="Q30" s="56">
        <v>1.115113647231343</v>
      </c>
      <c r="R30">
        <v>0.11449304105369995</v>
      </c>
      <c r="S30">
        <v>0.25719907823936755</v>
      </c>
      <c r="U30" s="20">
        <v>1.0329999999999999</v>
      </c>
      <c r="V30" s="20">
        <v>0.49399999999999999</v>
      </c>
      <c r="W30" s="20">
        <v>0.32</v>
      </c>
      <c r="X30" s="20">
        <v>9.1999999999999998E-2</v>
      </c>
      <c r="Y30">
        <v>0.21299999999999999</v>
      </c>
      <c r="Z30">
        <v>0.29199999999999998</v>
      </c>
      <c r="AA30">
        <v>1.0880000000000001</v>
      </c>
      <c r="AB30" s="20">
        <v>0.14599999999999999</v>
      </c>
      <c r="AC30" s="20">
        <v>0.60599999999999998</v>
      </c>
      <c r="AD30">
        <v>0.26935602374947876</v>
      </c>
      <c r="AE30">
        <v>0.17306502859173614</v>
      </c>
      <c r="AF30">
        <v>0.26969367286573964</v>
      </c>
      <c r="AG30" s="23">
        <v>0.28680007000000002</v>
      </c>
      <c r="AH30">
        <v>0.23833163343592889</v>
      </c>
    </row>
    <row r="31" spans="1:34">
      <c r="A31" s="20">
        <v>28</v>
      </c>
      <c r="B31" s="20">
        <v>84</v>
      </c>
      <c r="C31" s="20" t="s">
        <v>69</v>
      </c>
      <c r="D31" s="59" t="s">
        <v>132</v>
      </c>
      <c r="E31" s="59" t="s">
        <v>133</v>
      </c>
      <c r="F31" s="57"/>
      <c r="G31" s="57"/>
      <c r="H31" s="20">
        <v>3.3888330677883646E-2</v>
      </c>
      <c r="I31" s="20">
        <v>0.10662166645031947</v>
      </c>
      <c r="J31" s="20">
        <v>0.11601524590677144</v>
      </c>
      <c r="K31" s="20">
        <v>0.11258218403918301</v>
      </c>
      <c r="L31">
        <v>8.5940017153514875E-2</v>
      </c>
      <c r="M31">
        <v>0.52243757431629012</v>
      </c>
      <c r="N31">
        <v>0.33831916902738435</v>
      </c>
      <c r="O31">
        <v>6.7129167498502687E-2</v>
      </c>
      <c r="P31" s="56">
        <v>0.51507281553398065</v>
      </c>
      <c r="Q31" s="56">
        <v>0.87538652810099149</v>
      </c>
      <c r="R31">
        <v>7.228437766137405E-2</v>
      </c>
      <c r="S31">
        <v>0.13832214024924686</v>
      </c>
      <c r="U31" s="20">
        <v>0.81399999999999995</v>
      </c>
      <c r="V31" s="20">
        <v>0.35199999999999998</v>
      </c>
      <c r="W31" s="20">
        <v>0.14899999999999999</v>
      </c>
      <c r="X31" s="20">
        <v>4.3999999999999997E-2</v>
      </c>
      <c r="Y31">
        <v>0.161</v>
      </c>
      <c r="Z31">
        <v>6.2E-2</v>
      </c>
      <c r="AA31">
        <v>0.69599999999999995</v>
      </c>
      <c r="AB31" s="20">
        <v>0.13</v>
      </c>
      <c r="AC31" s="20">
        <v>0.54900000000000004</v>
      </c>
      <c r="AD31">
        <v>0.19912031613018524</v>
      </c>
      <c r="AE31">
        <v>0.19652916564898579</v>
      </c>
      <c r="AF31">
        <v>0.18461224628565601</v>
      </c>
      <c r="AG31" s="23">
        <v>0.16131266999999999</v>
      </c>
      <c r="AH31">
        <v>0.15181738588874547</v>
      </c>
    </row>
    <row r="32" spans="1:34">
      <c r="A32" s="20">
        <v>29</v>
      </c>
      <c r="B32" s="20">
        <v>87</v>
      </c>
      <c r="C32" s="20" t="s">
        <v>69</v>
      </c>
      <c r="D32" s="59" t="s">
        <v>132</v>
      </c>
      <c r="E32" s="59" t="s">
        <v>133</v>
      </c>
      <c r="F32" s="57"/>
      <c r="G32" s="57"/>
      <c r="H32" s="20">
        <v>4.153368520131541E-2</v>
      </c>
      <c r="I32" s="20">
        <v>0.10908513983240303</v>
      </c>
      <c r="J32" s="20">
        <v>0.12056240803932006</v>
      </c>
      <c r="K32" s="20">
        <v>0.11578198876088491</v>
      </c>
      <c r="L32">
        <v>8.7621333889990605E-2</v>
      </c>
      <c r="M32">
        <v>5.3757431629013079E-2</v>
      </c>
      <c r="N32">
        <v>0.37995278564683665</v>
      </c>
      <c r="O32">
        <v>5.651028149331204E-2</v>
      </c>
      <c r="P32" s="56">
        <v>0.49041262135922331</v>
      </c>
      <c r="Q32" s="56">
        <v>0.68857789537441427</v>
      </c>
      <c r="R32">
        <v>5.3104985008808045E-2</v>
      </c>
      <c r="S32">
        <v>0.11568444209683132</v>
      </c>
      <c r="U32" s="20">
        <v>0.69099999999999995</v>
      </c>
      <c r="V32" s="20">
        <v>0.42</v>
      </c>
      <c r="W32" s="20">
        <v>0.155</v>
      </c>
      <c r="X32" s="20">
        <v>6.4000000000000001E-2</v>
      </c>
      <c r="Y32">
        <v>0.224</v>
      </c>
      <c r="Z32">
        <v>0.05</v>
      </c>
      <c r="AA32">
        <v>0.93600000000000005</v>
      </c>
      <c r="AB32" s="20">
        <v>0.114</v>
      </c>
      <c r="AC32" s="20">
        <v>0.54100000000000004</v>
      </c>
      <c r="AD32">
        <v>0.1396473321551262</v>
      </c>
      <c r="AE32">
        <v>0.17916142043129676</v>
      </c>
      <c r="AF32">
        <v>0.11134532349641316</v>
      </c>
      <c r="AG32" s="23">
        <v>0.10252756</v>
      </c>
      <c r="AH32">
        <v>0.14373911238277476</v>
      </c>
    </row>
    <row r="33" spans="1:34">
      <c r="A33" s="20">
        <v>30</v>
      </c>
      <c r="B33" s="20">
        <v>90</v>
      </c>
      <c r="C33" s="20" t="s">
        <v>69</v>
      </c>
      <c r="D33" s="59" t="s">
        <v>132</v>
      </c>
      <c r="E33" s="59" t="s">
        <v>133</v>
      </c>
      <c r="F33" s="61" t="s">
        <v>134</v>
      </c>
      <c r="G33" s="57"/>
      <c r="H33" s="20">
        <v>3.8039525797429037E-2</v>
      </c>
      <c r="I33" s="20">
        <v>8.2185972047942535E-2</v>
      </c>
      <c r="J33" s="20">
        <v>9.5991296997777281E-2</v>
      </c>
      <c r="K33" s="20">
        <v>7.0326719696045079E-2</v>
      </c>
      <c r="L33">
        <v>8.7771086797692896E-2</v>
      </c>
      <c r="M33">
        <v>5.5124851367419743E-2</v>
      </c>
      <c r="N33">
        <v>0.27530217186024547</v>
      </c>
      <c r="O33">
        <v>6.3801157915751652E-2</v>
      </c>
      <c r="P33" s="56">
        <v>0.36248786407766986</v>
      </c>
      <c r="Q33" s="56">
        <v>0.54448659504606456</v>
      </c>
      <c r="R33">
        <v>4.5965211101648445E-2</v>
      </c>
      <c r="S33">
        <v>9.8735191172458631E-2</v>
      </c>
      <c r="U33" s="20">
        <v>0.76100000000000001</v>
      </c>
      <c r="V33" s="20">
        <v>0.32500000000000001</v>
      </c>
      <c r="W33" s="20">
        <v>0.123</v>
      </c>
      <c r="X33" s="20">
        <v>3.5999999999999997E-2</v>
      </c>
      <c r="Y33">
        <v>0.13100000000000001</v>
      </c>
      <c r="Z33">
        <v>4.7E-2</v>
      </c>
      <c r="AA33">
        <v>0.58899999999999997</v>
      </c>
      <c r="AB33" s="20">
        <v>0.11</v>
      </c>
      <c r="AC33" s="20">
        <v>0.58699999999999997</v>
      </c>
      <c r="AD33">
        <v>0.13549713060227567</v>
      </c>
      <c r="AE33">
        <v>0.16371236043961707</v>
      </c>
      <c r="AF33">
        <v>9.0606194539829335E-2</v>
      </c>
      <c r="AG33" s="23">
        <v>7.8627559999999999E-2</v>
      </c>
      <c r="AH33">
        <v>0.14369398236318834</v>
      </c>
    </row>
    <row r="34" spans="1:34">
      <c r="A34" s="20">
        <v>31</v>
      </c>
      <c r="B34" s="20">
        <v>93</v>
      </c>
      <c r="C34" s="20" t="s">
        <v>72</v>
      </c>
      <c r="D34" s="20"/>
      <c r="E34" s="20"/>
      <c r="F34" s="61" t="s">
        <v>134</v>
      </c>
      <c r="G34" s="57"/>
      <c r="H34" s="20">
        <v>4.2398029895960983E-2</v>
      </c>
      <c r="I34" s="20">
        <v>0.10112933235255939</v>
      </c>
      <c r="J34" s="20">
        <v>9.7165263124941309E-2</v>
      </c>
      <c r="K34" s="20">
        <v>8.3630053754596742E-2</v>
      </c>
      <c r="L34">
        <v>9.8705318043410178E-2</v>
      </c>
      <c r="M34">
        <v>4.7734839476813319E-2</v>
      </c>
      <c r="N34">
        <v>0.27341359773371104</v>
      </c>
      <c r="O34">
        <v>6.3663405869435016E-2</v>
      </c>
      <c r="P34" s="56">
        <v>0.46292475728155341</v>
      </c>
      <c r="Q34" s="56">
        <v>0.38573113583474128</v>
      </c>
      <c r="R34">
        <v>5.0398404050538394E-2</v>
      </c>
      <c r="S34">
        <v>9.3162834704171721E-2</v>
      </c>
      <c r="U34" s="20">
        <v>0.67500000000000004</v>
      </c>
      <c r="V34" s="20">
        <v>0.374</v>
      </c>
      <c r="W34" s="20">
        <v>0.14499999999999999</v>
      </c>
      <c r="X34" s="20">
        <v>5.6000000000000001E-2</v>
      </c>
      <c r="Y34">
        <v>0.19600000000000001</v>
      </c>
      <c r="Z34">
        <v>0.06</v>
      </c>
      <c r="AA34">
        <v>0.85399999999999998</v>
      </c>
      <c r="AB34" s="20">
        <v>0.1</v>
      </c>
      <c r="AC34" s="20">
        <v>0.63</v>
      </c>
      <c r="AD34">
        <v>0.10816669645280222</v>
      </c>
      <c r="AE34">
        <v>0.16773044734160708</v>
      </c>
      <c r="AF34">
        <v>8.8481283786080986E-2</v>
      </c>
      <c r="AG34" s="23">
        <v>7.6499810000000001E-2</v>
      </c>
      <c r="AH34">
        <v>0.11729292090512768</v>
      </c>
    </row>
    <row r="35" spans="1:34">
      <c r="A35" s="20">
        <v>32</v>
      </c>
      <c r="B35" s="20">
        <v>96</v>
      </c>
      <c r="C35" s="20" t="s">
        <v>72</v>
      </c>
      <c r="D35" s="20"/>
      <c r="E35" s="20"/>
      <c r="F35" s="61" t="s">
        <v>134</v>
      </c>
      <c r="G35" s="57"/>
      <c r="H35" s="20">
        <v>3.396356377509651E-2</v>
      </c>
      <c r="I35" s="20">
        <v>9.6205270217645272E-2</v>
      </c>
      <c r="J35" s="20">
        <v>7.140453307453902E-2</v>
      </c>
      <c r="K35" s="20">
        <v>6.5205970846223649E-2</v>
      </c>
      <c r="L35">
        <v>6.0025957170668394E-2</v>
      </c>
      <c r="M35">
        <v>4.5838287752675386E-2</v>
      </c>
      <c r="N35">
        <v>0.23333333333333336</v>
      </c>
      <c r="O35">
        <v>3.6085046915552005E-2</v>
      </c>
      <c r="P35" s="56">
        <v>0.32785194174757276</v>
      </c>
      <c r="Q35" s="56">
        <v>0.21900602505658456</v>
      </c>
      <c r="R35">
        <v>3.7892133415775166E-2</v>
      </c>
      <c r="S35">
        <v>5.9728695894450276E-2</v>
      </c>
      <c r="U35" s="20">
        <v>0.64600000000000002</v>
      </c>
      <c r="V35" s="20">
        <v>0.28399999999999997</v>
      </c>
      <c r="W35" s="20">
        <v>0.14399999999999999</v>
      </c>
      <c r="X35" s="20">
        <v>3.5999999999999997E-2</v>
      </c>
      <c r="Y35">
        <v>0.126</v>
      </c>
      <c r="Z35">
        <v>5.1999999999999998E-2</v>
      </c>
      <c r="AA35">
        <v>0.63200000000000001</v>
      </c>
      <c r="AB35" s="20">
        <v>9.9000000000000005E-2</v>
      </c>
      <c r="AC35" s="20">
        <v>0.45400000000000001</v>
      </c>
      <c r="AD35">
        <v>0.13255161275376132</v>
      </c>
      <c r="AE35">
        <v>0.20762528720302625</v>
      </c>
      <c r="AF35">
        <v>6.5192261924999148E-2</v>
      </c>
      <c r="AG35" s="23">
        <v>5.863666E-2</v>
      </c>
      <c r="AH35">
        <v>6.2685597205549184E-2</v>
      </c>
    </row>
    <row r="36" spans="1:34">
      <c r="A36" s="20">
        <v>33</v>
      </c>
      <c r="B36" s="20">
        <v>99</v>
      </c>
      <c r="C36" s="20" t="s">
        <v>72</v>
      </c>
      <c r="D36" s="20"/>
      <c r="E36" s="20"/>
      <c r="F36" s="61" t="s">
        <v>134</v>
      </c>
      <c r="G36" s="57"/>
      <c r="H36" s="20">
        <v>1.2732783741626138E-2</v>
      </c>
      <c r="I36" s="20">
        <v>2.7363593094197568E-2</v>
      </c>
      <c r="J36" s="20">
        <v>3.0213974892777759E-2</v>
      </c>
      <c r="K36" s="20">
        <v>2.5603744249107187E-2</v>
      </c>
      <c r="L36">
        <v>2.0486651570363446E-2</v>
      </c>
      <c r="M36">
        <v>3.5255648038049939E-2</v>
      </c>
      <c r="N36">
        <v>0.19907459867799809</v>
      </c>
      <c r="O36">
        <v>1.0734677580355361E-2</v>
      </c>
      <c r="P36" s="56">
        <v>0.16008495145631066</v>
      </c>
      <c r="Q36" s="56">
        <v>0.10966240555962893</v>
      </c>
      <c r="R36">
        <v>1.2739596579441652E-2</v>
      </c>
      <c r="S36">
        <v>1.8806703080468314E-2</v>
      </c>
      <c r="U36" s="20">
        <v>0.248</v>
      </c>
      <c r="V36" s="20">
        <v>0.13300000000000001</v>
      </c>
      <c r="W36" s="20">
        <v>7.5999999999999998E-2</v>
      </c>
      <c r="X36" s="20">
        <v>1.4E-2</v>
      </c>
      <c r="Y36">
        <v>3.9E-2</v>
      </c>
      <c r="Z36">
        <v>1.0999999999999999E-2</v>
      </c>
      <c r="AA36">
        <v>0.23699999999999999</v>
      </c>
      <c r="AB36" s="20">
        <v>6.7000000000000004E-2</v>
      </c>
      <c r="AC36" s="20">
        <v>0.125</v>
      </c>
      <c r="AD36">
        <v>4.8683783765894217E-2</v>
      </c>
      <c r="AE36">
        <v>0.28513988623807401</v>
      </c>
      <c r="AF36">
        <v>9.0436201679529468E-2</v>
      </c>
      <c r="AG36" s="23">
        <v>2.4048449999999999E-2</v>
      </c>
      <c r="AH36">
        <v>3.1229973553808518E-2</v>
      </c>
    </row>
    <row r="37" spans="1:34">
      <c r="A37" s="20">
        <v>34</v>
      </c>
      <c r="B37" s="20">
        <v>102</v>
      </c>
      <c r="C37" s="20" t="s">
        <v>69</v>
      </c>
      <c r="D37" s="20"/>
      <c r="E37" s="20"/>
      <c r="F37" s="61" t="s">
        <v>134</v>
      </c>
      <c r="G37" s="57"/>
      <c r="H37" s="20">
        <v>1.1455492935612172E-2</v>
      </c>
      <c r="I37" s="20">
        <v>1.5300073558045951E-2</v>
      </c>
      <c r="J37" s="20">
        <v>2.3761074413799578E-2</v>
      </c>
      <c r="K37" s="20">
        <v>1.0395385488912119E-2</v>
      </c>
      <c r="L37">
        <v>1.5676406656289846E-2</v>
      </c>
      <c r="M37">
        <v>2.2473246135552915E-2</v>
      </c>
      <c r="N37">
        <v>0.14098677998111425</v>
      </c>
      <c r="O37">
        <v>3.202235975244559E-3</v>
      </c>
      <c r="P37" s="56">
        <v>0.11614077669902913</v>
      </c>
      <c r="Q37" s="56">
        <v>0.12400777837992924</v>
      </c>
      <c r="R37">
        <v>7.1397739071596055E-3</v>
      </c>
      <c r="S37">
        <v>1.6078570226202845E-2</v>
      </c>
      <c r="U37" s="20">
        <v>0.22</v>
      </c>
      <c r="V37" s="20">
        <v>0.115</v>
      </c>
      <c r="W37" s="20">
        <v>0.05</v>
      </c>
      <c r="X37" s="20">
        <v>1.2E-2</v>
      </c>
      <c r="Y37">
        <v>2.5000000000000001E-2</v>
      </c>
      <c r="Z37">
        <v>6.0000000000000001E-3</v>
      </c>
      <c r="AA37">
        <v>0.245</v>
      </c>
      <c r="AB37" s="20">
        <v>7.1999999999999995E-2</v>
      </c>
      <c r="AC37" s="20">
        <v>6.2E-2</v>
      </c>
      <c r="AD37">
        <v>5.6405012013741332E-2</v>
      </c>
      <c r="AE37">
        <v>0.30040154826911386</v>
      </c>
      <c r="AF37">
        <v>6.5532247645598882E-2</v>
      </c>
      <c r="AG37" s="23">
        <v>1.0985099999999999E-2</v>
      </c>
      <c r="AH37">
        <v>4.8198860918305636E-2</v>
      </c>
    </row>
    <row r="38" spans="1:34">
      <c r="A38" s="20">
        <v>35</v>
      </c>
      <c r="B38" s="20">
        <v>105</v>
      </c>
      <c r="C38" s="20" t="s">
        <v>69</v>
      </c>
      <c r="D38" s="20"/>
      <c r="E38" s="20"/>
      <c r="F38" s="61" t="s">
        <v>134</v>
      </c>
      <c r="G38" s="57"/>
      <c r="H38" s="20">
        <v>1.3602143976085905E-2</v>
      </c>
      <c r="I38" s="20">
        <v>2.7291477362871939E-2</v>
      </c>
      <c r="J38" s="20">
        <v>3.3207588517045986E-2</v>
      </c>
      <c r="K38" s="20">
        <v>4.2855096073738788E-2</v>
      </c>
      <c r="L38">
        <v>2.224965171104042E-2</v>
      </c>
      <c r="M38">
        <v>1.9441141498216411E-2</v>
      </c>
      <c r="N38">
        <v>0.19974032105760151</v>
      </c>
      <c r="O38">
        <v>7.6222798961868635E-3</v>
      </c>
      <c r="P38" s="56">
        <v>0.15184466019417475</v>
      </c>
      <c r="Q38" s="56">
        <v>7.6508655041601578E-2</v>
      </c>
      <c r="R38">
        <v>1.4722867109208209E-2</v>
      </c>
      <c r="S38">
        <v>2.4437104928633206E-2</v>
      </c>
      <c r="U38" s="20">
        <v>0.216</v>
      </c>
      <c r="V38" s="20">
        <v>0.14699999999999999</v>
      </c>
      <c r="W38" s="20">
        <v>0.11799999999999999</v>
      </c>
      <c r="X38" s="20">
        <v>1.2E-2</v>
      </c>
      <c r="Y38">
        <v>3.5000000000000003E-2</v>
      </c>
      <c r="Z38">
        <v>6.0000000000000001E-3</v>
      </c>
      <c r="AA38">
        <v>0.14599999999999999</v>
      </c>
      <c r="AB38" s="20">
        <v>0.108</v>
      </c>
      <c r="AC38" s="20">
        <v>5.3999999999999999E-2</v>
      </c>
      <c r="AD38">
        <v>0.11050325330791584</v>
      </c>
      <c r="AE38">
        <v>0.22954310172823583</v>
      </c>
      <c r="AF38">
        <v>4.5048107979464867E-2</v>
      </c>
      <c r="AG38" s="23">
        <v>1.157888E-2</v>
      </c>
      <c r="AH38">
        <v>4.675470029153992E-2</v>
      </c>
    </row>
    <row r="39" spans="1:34">
      <c r="A39" s="20">
        <v>36</v>
      </c>
      <c r="B39" s="20">
        <v>108</v>
      </c>
      <c r="C39" s="20" t="s">
        <v>69</v>
      </c>
      <c r="D39" s="20"/>
      <c r="E39" s="20"/>
      <c r="F39" s="61" t="s">
        <v>134</v>
      </c>
      <c r="G39" s="57"/>
      <c r="H39" s="20">
        <v>1.2254635612673266E-2</v>
      </c>
      <c r="I39" s="20">
        <v>5.1026206856763727E-2</v>
      </c>
      <c r="J39" s="20">
        <v>7.9050965782800603E-2</v>
      </c>
      <c r="K39" s="20">
        <v>2.2016566816486158E-2</v>
      </c>
      <c r="L39">
        <v>6.8954407046555005E-2</v>
      </c>
      <c r="M39">
        <v>2.1022592152199763E-2</v>
      </c>
      <c r="N39">
        <v>0.21011331444759207</v>
      </c>
      <c r="O39">
        <v>4.4935116789778393E-2</v>
      </c>
      <c r="P39" s="56">
        <v>0.63810679611650489</v>
      </c>
      <c r="Q39" s="56">
        <v>9.9461251554082045E-2</v>
      </c>
      <c r="R39">
        <v>1.8712740763209165E-2</v>
      </c>
      <c r="S39">
        <v>0.18011481376139868</v>
      </c>
      <c r="U39" s="20">
        <v>0.73499999999999999</v>
      </c>
      <c r="V39" s="20">
        <v>0.18099999999999999</v>
      </c>
      <c r="W39" s="20">
        <v>0.05</v>
      </c>
      <c r="X39" s="20">
        <v>7.0000000000000001E-3</v>
      </c>
      <c r="Y39">
        <v>6.3E-2</v>
      </c>
      <c r="Z39">
        <v>6.7000000000000004E-2</v>
      </c>
      <c r="AA39">
        <v>0.443</v>
      </c>
      <c r="AB39" s="20">
        <v>8.2000000000000003E-2</v>
      </c>
      <c r="AC39" s="20">
        <v>0.40100000000000002</v>
      </c>
      <c r="AD39">
        <v>8.1279744765914069E-2</v>
      </c>
      <c r="AE39">
        <v>0.1881623885927147</v>
      </c>
      <c r="AF39">
        <v>2.1844082548532963E-2</v>
      </c>
      <c r="AG39" s="23">
        <v>1.108406E-2</v>
      </c>
      <c r="AH39">
        <v>6.9725880261032033E-2</v>
      </c>
    </row>
    <row r="40" spans="1:34">
      <c r="A40" s="20">
        <v>37</v>
      </c>
      <c r="B40" s="20">
        <v>111</v>
      </c>
      <c r="C40" s="20" t="s">
        <v>69</v>
      </c>
      <c r="D40" s="20"/>
      <c r="E40" s="20"/>
      <c r="F40" s="57"/>
      <c r="G40" s="57"/>
      <c r="H40" s="20">
        <v>4.2842741092819256E-2</v>
      </c>
      <c r="I40" s="20">
        <v>0.11914672666695511</v>
      </c>
      <c r="J40" s="20">
        <v>9.3486835926494052E-2</v>
      </c>
      <c r="K40" s="20">
        <v>7.9862456155246231E-2</v>
      </c>
      <c r="L40">
        <v>0.10379918588873811</v>
      </c>
      <c r="M40">
        <v>2.3014268727705112E-2</v>
      </c>
      <c r="N40">
        <v>0.27433899905571296</v>
      </c>
      <c r="O40">
        <v>6.4701537232980638E-2</v>
      </c>
      <c r="P40" s="56">
        <v>0.44540048543689326</v>
      </c>
      <c r="Q40" s="56">
        <v>0.14281615607765627</v>
      </c>
      <c r="R40">
        <v>5.7748171307908581E-2</v>
      </c>
      <c r="S40">
        <v>0.11307240000232183</v>
      </c>
      <c r="U40" s="20">
        <v>0.96899999999999997</v>
      </c>
      <c r="V40" s="20">
        <v>0.29199999999999998</v>
      </c>
      <c r="W40" s="20">
        <v>0.112</v>
      </c>
      <c r="X40" s="20">
        <v>0.04</v>
      </c>
      <c r="Y40">
        <v>0.13100000000000001</v>
      </c>
      <c r="Z40">
        <v>0.16800000000000001</v>
      </c>
      <c r="AA40">
        <v>0.72499999999999998</v>
      </c>
      <c r="AB40" s="20">
        <v>8.7999999999999995E-2</v>
      </c>
      <c r="AC40" s="20">
        <v>0.63700000000000001</v>
      </c>
      <c r="AD40">
        <v>0.18706355037497432</v>
      </c>
      <c r="AE40">
        <v>0.19971335267025653</v>
      </c>
      <c r="AF40">
        <v>1.3514432393839461E-2</v>
      </c>
      <c r="AG40" s="23">
        <v>3.7656120000000001E-2</v>
      </c>
      <c r="AH40">
        <v>0.10240001444160626</v>
      </c>
    </row>
    <row r="41" spans="1:34">
      <c r="A41" s="20">
        <v>38</v>
      </c>
      <c r="B41" s="20">
        <v>114</v>
      </c>
      <c r="C41" s="20" t="s">
        <v>69</v>
      </c>
      <c r="D41" s="20"/>
      <c r="E41" s="20"/>
      <c r="F41" s="57"/>
      <c r="G41" s="57"/>
      <c r="H41" s="20">
        <v>2.4627972334282384E-2</v>
      </c>
      <c r="I41" s="20">
        <v>5.4430069375333533E-2</v>
      </c>
      <c r="J41" s="20">
        <v>9.0238862974673633E-3</v>
      </c>
      <c r="K41" s="20">
        <v>4.4011907731004142E-2</v>
      </c>
      <c r="L41">
        <v>9.1274397244546501E-2</v>
      </c>
      <c r="M41">
        <v>4.5963139120095128E-2</v>
      </c>
      <c r="N41">
        <v>0.17883380547686498</v>
      </c>
      <c r="O41">
        <v>4.0077859852265918E-2</v>
      </c>
      <c r="P41" s="56">
        <v>0.29876213592233009</v>
      </c>
      <c r="Q41" s="56">
        <v>7.2045650164174829E-2</v>
      </c>
      <c r="R41">
        <v>4.0178727673623668E-2</v>
      </c>
      <c r="S41">
        <v>4.2024855031663755E-2</v>
      </c>
      <c r="U41" s="20">
        <v>0.56699999999999995</v>
      </c>
      <c r="V41" s="20">
        <v>0.19900000000000001</v>
      </c>
      <c r="W41" s="20">
        <v>7.8E-2</v>
      </c>
      <c r="X41" s="20">
        <v>2.5000000000000001E-2</v>
      </c>
      <c r="Y41">
        <v>5.5E-2</v>
      </c>
      <c r="Z41">
        <v>2.5000000000000001E-2</v>
      </c>
      <c r="AA41">
        <v>0.39800000000000002</v>
      </c>
      <c r="AB41" s="20">
        <v>5.7000000000000002E-2</v>
      </c>
      <c r="AC41" s="20">
        <v>0.46300000000000002</v>
      </c>
      <c r="AD41">
        <v>9.8198269756481799E-2</v>
      </c>
      <c r="AE41">
        <v>0.1816746943439039</v>
      </c>
      <c r="AF41">
        <v>2.3544011151531638E-2</v>
      </c>
      <c r="AG41" s="23">
        <v>4.9878270000000002E-2</v>
      </c>
      <c r="AH41">
        <v>5.0771272034732064E-2</v>
      </c>
    </row>
    <row r="42" spans="1:34">
      <c r="A42" s="20">
        <v>39</v>
      </c>
      <c r="B42" s="20">
        <v>117</v>
      </c>
      <c r="C42" s="20" t="s">
        <v>69</v>
      </c>
      <c r="D42" s="20"/>
      <c r="E42" s="20"/>
      <c r="F42" s="57"/>
      <c r="G42" s="57"/>
      <c r="H42" s="20">
        <v>3.2885222715045452E-2</v>
      </c>
      <c r="I42" s="20">
        <v>6.8042634820359701E-2</v>
      </c>
      <c r="J42" s="20">
        <v>1.8779544814200293E-2</v>
      </c>
      <c r="K42" s="20">
        <v>3.7585765910140144E-2</v>
      </c>
      <c r="L42">
        <v>8.9080290248362934E-2</v>
      </c>
      <c r="M42">
        <v>2.8424494649227111E-2</v>
      </c>
      <c r="N42">
        <v>0.19650141643059493</v>
      </c>
      <c r="O42">
        <v>5.0041924535835502E-2</v>
      </c>
      <c r="P42" s="56">
        <v>0.40383495145631065</v>
      </c>
      <c r="Q42" s="56">
        <v>7.0770505913481468E-2</v>
      </c>
      <c r="R42">
        <v>4.0458718807237767E-2</v>
      </c>
      <c r="S42">
        <v>5.8103425257866589E-2</v>
      </c>
      <c r="U42" s="20">
        <v>0.51200000000000001</v>
      </c>
      <c r="V42" s="20">
        <v>0.23</v>
      </c>
      <c r="W42" s="20">
        <v>0.104</v>
      </c>
      <c r="X42" s="20">
        <v>4.8000000000000001E-2</v>
      </c>
      <c r="Y42">
        <v>0.10100000000000001</v>
      </c>
      <c r="Z42">
        <v>3.9E-2</v>
      </c>
      <c r="AA42">
        <v>0.61799999999999999</v>
      </c>
      <c r="AB42" s="20">
        <v>5.1999999999999998E-2</v>
      </c>
      <c r="AC42" s="20">
        <v>0.41299999999999998</v>
      </c>
      <c r="AD42">
        <v>7.4769819363635762E-2</v>
      </c>
      <c r="AE42">
        <v>0.17659427355077967</v>
      </c>
      <c r="AF42">
        <v>3.2808622037874415E-2</v>
      </c>
      <c r="AG42" s="23">
        <v>4.9630859999999999E-2</v>
      </c>
      <c r="AH42">
        <v>4.2828388587520645E-2</v>
      </c>
    </row>
    <row r="43" spans="1:34">
      <c r="A43" s="20">
        <v>40</v>
      </c>
      <c r="B43" s="20">
        <v>120</v>
      </c>
      <c r="C43" s="20" t="s">
        <v>69</v>
      </c>
      <c r="D43" s="59" t="s">
        <v>135</v>
      </c>
      <c r="E43" s="59" t="s">
        <v>136</v>
      </c>
      <c r="F43" s="57"/>
      <c r="G43" s="57"/>
      <c r="H43" s="20">
        <v>2.8772480067408856E-2</v>
      </c>
      <c r="I43" s="20">
        <v>5.9916634214587566E-2</v>
      </c>
      <c r="J43" s="20">
        <v>2.7134270419184172E-2</v>
      </c>
      <c r="K43" s="20">
        <v>4.8713445016954189E-2</v>
      </c>
      <c r="L43">
        <v>9.0491597954284506E-2</v>
      </c>
      <c r="M43">
        <v>3.3864447086801426E-2</v>
      </c>
      <c r="N43">
        <v>0.17449952785646838</v>
      </c>
      <c r="O43">
        <v>5.9464963066480345E-2</v>
      </c>
      <c r="P43" s="56">
        <v>0.33836165048543693</v>
      </c>
      <c r="Q43" s="56">
        <v>6.7582645286748066E-2</v>
      </c>
      <c r="R43">
        <v>4.2885308631893319E-2</v>
      </c>
      <c r="S43">
        <v>6.4778643943835298E-2</v>
      </c>
      <c r="U43" s="20">
        <v>0.63100000000000001</v>
      </c>
      <c r="V43" s="20">
        <v>0.20100000000000001</v>
      </c>
      <c r="W43" s="20">
        <v>9.6000000000000002E-2</v>
      </c>
      <c r="X43" s="20">
        <v>2.1999999999999999E-2</v>
      </c>
      <c r="Y43">
        <v>0.10100000000000001</v>
      </c>
      <c r="Z43">
        <v>4.5999999999999999E-2</v>
      </c>
      <c r="AA43">
        <v>0.442</v>
      </c>
      <c r="AB43" s="20">
        <v>6.5000000000000002E-2</v>
      </c>
      <c r="AC43" s="20">
        <v>0.45100000000000001</v>
      </c>
      <c r="AD43">
        <v>9.1612224230028405E-2</v>
      </c>
      <c r="AE43">
        <v>0.18254322496791095</v>
      </c>
      <c r="AF43">
        <v>1.8019243191785946E-2</v>
      </c>
      <c r="AG43" s="23">
        <v>4.6661920000000003E-2</v>
      </c>
      <c r="AH43">
        <v>6.4942098184870609E-2</v>
      </c>
    </row>
    <row r="44" spans="1:34">
      <c r="A44" s="20">
        <v>41</v>
      </c>
      <c r="B44" s="20">
        <v>123</v>
      </c>
      <c r="C44" s="20" t="s">
        <v>73</v>
      </c>
      <c r="D44" s="59" t="s">
        <v>135</v>
      </c>
      <c r="E44" s="59" t="s">
        <v>136</v>
      </c>
      <c r="F44" s="57"/>
      <c r="G44" s="57"/>
      <c r="H44" s="20">
        <v>3.2201437453710749E-2</v>
      </c>
      <c r="I44" s="20">
        <v>7.1896499502401442E-2</v>
      </c>
      <c r="J44" s="20">
        <v>1.8384309551388409E-2</v>
      </c>
      <c r="K44" s="20">
        <v>5.0093128644885347E-2</v>
      </c>
      <c r="L44">
        <v>9.2917141262371633E-2</v>
      </c>
      <c r="M44">
        <v>3.6944114149821641E-2</v>
      </c>
      <c r="N44">
        <v>0.20343720491029271</v>
      </c>
      <c r="O44">
        <v>5.7779996007187071E-2</v>
      </c>
      <c r="P44" s="56">
        <v>0.41486650485436893</v>
      </c>
      <c r="Q44" s="56">
        <v>7.0770505913481468E-2</v>
      </c>
      <c r="R44">
        <v>4.617520445185902E-2</v>
      </c>
      <c r="S44">
        <v>4.858398295787647E-2</v>
      </c>
      <c r="U44" s="20">
        <v>0.505</v>
      </c>
      <c r="V44" s="20">
        <v>0.252</v>
      </c>
      <c r="W44" s="20">
        <v>0.108</v>
      </c>
      <c r="X44" s="20">
        <v>3.7999999999999999E-2</v>
      </c>
      <c r="Y44">
        <v>0.12</v>
      </c>
      <c r="Z44">
        <v>4.9000000000000002E-2</v>
      </c>
      <c r="AA44">
        <v>0.57299999999999995</v>
      </c>
      <c r="AB44" s="20">
        <v>6.7000000000000004E-2</v>
      </c>
      <c r="AC44" s="20">
        <v>0.436</v>
      </c>
      <c r="AD44">
        <v>7.6070480615844913E-2</v>
      </c>
      <c r="AE44">
        <v>0.18100558313870801</v>
      </c>
      <c r="AF44">
        <v>1.2239485941590453E-2</v>
      </c>
      <c r="AG44" s="23">
        <v>5.2649290000000001E-2</v>
      </c>
      <c r="AH44">
        <v>7.5502522768094868E-2</v>
      </c>
    </row>
    <row r="45" spans="1:34">
      <c r="A45" s="20">
        <v>42</v>
      </c>
      <c r="B45" s="20">
        <v>126</v>
      </c>
      <c r="C45" s="20" t="s">
        <v>73</v>
      </c>
      <c r="D45" s="59" t="s">
        <v>135</v>
      </c>
      <c r="E45" s="59" t="s">
        <v>136</v>
      </c>
      <c r="F45" s="57"/>
      <c r="G45" s="57"/>
      <c r="H45" s="20">
        <v>0.12254134058691847</v>
      </c>
      <c r="I45" s="20">
        <v>0.17465853201217313</v>
      </c>
      <c r="J45" s="20">
        <v>0.13869235826315626</v>
      </c>
      <c r="K45" s="20">
        <v>0.1817255597005025</v>
      </c>
      <c r="L45">
        <v>0.13676070846739244</v>
      </c>
      <c r="M45">
        <v>0.11541617122473247</v>
      </c>
      <c r="N45">
        <v>0.32212464589235129</v>
      </c>
      <c r="O45">
        <v>6.0131762826911565E-2</v>
      </c>
      <c r="P45" s="56">
        <v>0.63461165048543677</v>
      </c>
      <c r="Q45" s="56">
        <v>0.67168223405272731</v>
      </c>
      <c r="R45">
        <v>0.10583664850613063</v>
      </c>
      <c r="S45">
        <v>0.17976654148213073</v>
      </c>
      <c r="U45" s="20">
        <v>1.04</v>
      </c>
      <c r="V45" s="20">
        <v>0.47699999999999998</v>
      </c>
      <c r="W45" s="20">
        <v>0.21299999999999999</v>
      </c>
      <c r="X45" s="20">
        <v>0.20799999999999999</v>
      </c>
      <c r="Y45">
        <v>0.26300000000000001</v>
      </c>
      <c r="Z45">
        <v>0.28000000000000003</v>
      </c>
      <c r="AA45">
        <v>1.1120000000000001</v>
      </c>
      <c r="AB45" s="20">
        <v>0.22500000000000001</v>
      </c>
      <c r="AC45" s="20">
        <v>0.67100000000000004</v>
      </c>
      <c r="AD45">
        <v>0.23179901639561284</v>
      </c>
      <c r="AE45">
        <v>0.27743089601557053</v>
      </c>
      <c r="AF45">
        <v>3.1958657736375073E-2</v>
      </c>
      <c r="AG45" s="23">
        <v>0.15626545999999999</v>
      </c>
      <c r="AH45">
        <v>0.18697367114657326</v>
      </c>
    </row>
    <row r="46" spans="1:34">
      <c r="A46" s="20">
        <v>43</v>
      </c>
      <c r="B46" s="20">
        <v>129</v>
      </c>
      <c r="C46" s="20" t="s">
        <v>73</v>
      </c>
      <c r="D46" s="59" t="s">
        <v>135</v>
      </c>
      <c r="E46" s="59" t="s">
        <v>136</v>
      </c>
      <c r="F46" s="57"/>
      <c r="G46" s="57"/>
      <c r="H46" s="20">
        <v>0.20847927160987126</v>
      </c>
      <c r="I46" s="20">
        <v>0.27230900148558407</v>
      </c>
      <c r="J46" s="20">
        <v>0.29229017312087152</v>
      </c>
      <c r="K46" s="20">
        <v>0.39108193728807267</v>
      </c>
      <c r="L46">
        <v>0.19274106814664893</v>
      </c>
      <c r="M46">
        <v>0.36577883472057077</v>
      </c>
      <c r="N46">
        <v>0.52880075542965066</v>
      </c>
      <c r="O46">
        <v>0.1341984428029547</v>
      </c>
      <c r="P46" s="56">
        <v>0.89666262135922326</v>
      </c>
      <c r="Q46" s="56">
        <v>1.3953265963212087</v>
      </c>
      <c r="R46">
        <v>0.17954431443004304</v>
      </c>
      <c r="S46">
        <v>0.48746510021534839</v>
      </c>
      <c r="U46" s="20">
        <v>1.4470000000000001</v>
      </c>
      <c r="V46" s="20">
        <v>0.73499999999999999</v>
      </c>
      <c r="W46" s="20">
        <v>0.63800000000000001</v>
      </c>
      <c r="X46" s="20">
        <v>0.36</v>
      </c>
      <c r="Y46">
        <v>0.39100000000000001</v>
      </c>
      <c r="Z46">
        <v>0.61299999999999999</v>
      </c>
      <c r="AA46">
        <v>1.64</v>
      </c>
      <c r="AB46" s="20">
        <v>0.34300000000000003</v>
      </c>
      <c r="AC46" s="20">
        <v>0.78800000000000003</v>
      </c>
      <c r="AD46">
        <v>0.28596675867272975</v>
      </c>
      <c r="AE46">
        <v>0.30950110817063259</v>
      </c>
      <c r="AF46">
        <v>0.728504402815082</v>
      </c>
      <c r="AG46" s="23">
        <v>0.33717317000000002</v>
      </c>
      <c r="AH46">
        <v>0.44556868337680855</v>
      </c>
    </row>
    <row r="47" spans="1:34">
      <c r="A47" s="20">
        <v>44</v>
      </c>
      <c r="B47" s="20">
        <v>132</v>
      </c>
      <c r="C47" s="20" t="s">
        <v>69</v>
      </c>
      <c r="D47" s="59" t="s">
        <v>135</v>
      </c>
      <c r="E47" s="59" t="s">
        <v>136</v>
      </c>
      <c r="F47" s="57"/>
      <c r="G47" s="57"/>
      <c r="H47" s="20">
        <v>9.0844800807836287E-2</v>
      </c>
      <c r="I47" s="20">
        <v>0.21183563382516263</v>
      </c>
      <c r="J47" s="20">
        <v>0.16484049713552262</v>
      </c>
      <c r="K47" s="20">
        <v>0.17758120234121699</v>
      </c>
      <c r="L47">
        <v>0.11856119221466396</v>
      </c>
      <c r="M47">
        <v>0.21839476813317479</v>
      </c>
      <c r="N47">
        <v>0.2370585457979226</v>
      </c>
      <c r="O47">
        <v>5.0618886005190648E-2</v>
      </c>
      <c r="P47" s="56">
        <v>0.66229368932038835</v>
      </c>
      <c r="Q47" s="56">
        <v>0.761579903726609</v>
      </c>
      <c r="R47">
        <v>9.2513737064992926E-2</v>
      </c>
      <c r="S47">
        <v>0.19224629815589828</v>
      </c>
      <c r="U47" s="20">
        <v>0.872</v>
      </c>
      <c r="V47" s="20">
        <v>0.41299999999999998</v>
      </c>
      <c r="W47" s="20">
        <v>0.25600000000000001</v>
      </c>
      <c r="X47" s="20">
        <v>0.186</v>
      </c>
      <c r="Y47">
        <v>0.18</v>
      </c>
      <c r="Z47">
        <v>0.21099999999999999</v>
      </c>
      <c r="AA47">
        <v>1.1739999999999999</v>
      </c>
      <c r="AB47" s="20">
        <v>0.245</v>
      </c>
      <c r="AC47" s="20">
        <v>0.48499999999999999</v>
      </c>
      <c r="AD47">
        <v>0.19789908457276753</v>
      </c>
      <c r="AE47">
        <v>0.20285496478988554</v>
      </c>
      <c r="AF47">
        <v>0.31916159521300103</v>
      </c>
      <c r="AG47" s="23">
        <v>0.14161867</v>
      </c>
      <c r="AH47">
        <v>0.17492395591699683</v>
      </c>
    </row>
    <row r="48" spans="1:34">
      <c r="A48" s="20">
        <v>45</v>
      </c>
      <c r="B48" s="20">
        <v>135</v>
      </c>
      <c r="C48" s="20" t="s">
        <v>69</v>
      </c>
      <c r="D48" s="59" t="s">
        <v>135</v>
      </c>
      <c r="E48" s="59" t="s">
        <v>136</v>
      </c>
      <c r="F48" s="57"/>
      <c r="G48" s="57"/>
      <c r="H48" s="20">
        <v>6.4932850281121016E-2</v>
      </c>
      <c r="I48" s="20">
        <v>0.13676892677368641</v>
      </c>
      <c r="J48" s="20">
        <v>0.1422064302038005</v>
      </c>
      <c r="K48" s="20">
        <v>0.19112332779691057</v>
      </c>
      <c r="L48">
        <v>8.4685269305645683E-2</v>
      </c>
      <c r="M48">
        <v>0.13486325802615937</v>
      </c>
      <c r="N48">
        <v>0.23828611898016996</v>
      </c>
      <c r="O48">
        <v>5.4254342184068674E-2</v>
      </c>
      <c r="P48" s="56">
        <v>0.43868932038834946</v>
      </c>
      <c r="Q48" s="56">
        <v>0.64490420478816668</v>
      </c>
      <c r="R48">
        <v>6.5354597104425025E-2</v>
      </c>
      <c r="S48">
        <v>0.13338828295961785</v>
      </c>
      <c r="U48" s="20">
        <v>0.66300000000000003</v>
      </c>
      <c r="V48" s="20">
        <v>0.29099999999999998</v>
      </c>
      <c r="W48" s="20">
        <v>0.26</v>
      </c>
      <c r="X48" s="20">
        <v>0.13500000000000001</v>
      </c>
      <c r="Y48">
        <v>0.157</v>
      </c>
      <c r="Z48">
        <v>0.13400000000000001</v>
      </c>
      <c r="AA48">
        <v>0.99</v>
      </c>
      <c r="AB48" s="20">
        <v>0.28999999999999998</v>
      </c>
      <c r="AC48" s="20">
        <v>0.379</v>
      </c>
      <c r="AD48">
        <v>0.18150347173957654</v>
      </c>
      <c r="AE48">
        <v>0.21772928333827213</v>
      </c>
      <c r="AF48">
        <v>0.26646380852004214</v>
      </c>
      <c r="AG48" s="23">
        <v>9.6837080000000006E-2</v>
      </c>
      <c r="AH48">
        <v>0.14112157124676189</v>
      </c>
    </row>
    <row r="49" spans="1:34">
      <c r="A49" s="20">
        <v>46</v>
      </c>
      <c r="B49" s="20">
        <v>138</v>
      </c>
      <c r="C49" s="20" t="s">
        <v>69</v>
      </c>
      <c r="D49" s="59" t="s">
        <v>135</v>
      </c>
      <c r="E49" s="59" t="s">
        <v>136</v>
      </c>
      <c r="F49" s="57"/>
      <c r="G49" s="57"/>
      <c r="H49" s="20">
        <v>2.4900483330853429E-2</v>
      </c>
      <c r="I49" s="20">
        <v>3.1840537694892757E-2</v>
      </c>
      <c r="J49" s="20">
        <v>3.6122937732836619E-2</v>
      </c>
      <c r="K49" s="20">
        <v>5.1929169165132211E-2</v>
      </c>
      <c r="L49">
        <v>4.5309330513743223E-2</v>
      </c>
      <c r="M49">
        <v>4.6260404280618311E-2</v>
      </c>
      <c r="N49">
        <v>9.2455146364494811E-2</v>
      </c>
      <c r="O49">
        <v>1.5224595727690157E-2</v>
      </c>
      <c r="P49" s="56">
        <v>0.16554611650485437</v>
      </c>
      <c r="Q49" s="56">
        <v>0.38987535464949474</v>
      </c>
      <c r="R49">
        <v>1.9972700864472621E-2</v>
      </c>
      <c r="S49">
        <v>3.3550229569477417E-2</v>
      </c>
      <c r="U49" s="20">
        <v>0.372</v>
      </c>
      <c r="V49" s="20">
        <v>0.13400000000000001</v>
      </c>
      <c r="W49" s="20">
        <v>0.121</v>
      </c>
      <c r="X49" s="20">
        <v>3.3000000000000002E-2</v>
      </c>
      <c r="Y49">
        <v>4.4999999999999998E-2</v>
      </c>
      <c r="Z49">
        <v>3.4000000000000002E-2</v>
      </c>
      <c r="AA49">
        <v>0.34799999999999998</v>
      </c>
      <c r="AB49" s="20">
        <v>0.23499999999999999</v>
      </c>
      <c r="AC49" s="20">
        <v>0.16800000000000001</v>
      </c>
      <c r="AD49">
        <v>6.7935556040959258E-2</v>
      </c>
      <c r="AE49">
        <v>0.17661380513216304</v>
      </c>
      <c r="AF49">
        <v>0.30794206643320982</v>
      </c>
      <c r="AG49" s="23">
        <v>4.8740180000000001E-2</v>
      </c>
      <c r="AH49">
        <v>7.3110631730014169E-2</v>
      </c>
    </row>
    <row r="50" spans="1:34">
      <c r="A50" s="20">
        <v>47</v>
      </c>
      <c r="B50" s="20">
        <v>141</v>
      </c>
      <c r="C50" s="20" t="s">
        <v>69</v>
      </c>
      <c r="D50" s="59" t="s">
        <v>135</v>
      </c>
      <c r="E50" s="59" t="s">
        <v>136</v>
      </c>
      <c r="F50" s="57"/>
      <c r="G50" s="57"/>
      <c r="H50" s="20">
        <v>1.9756211328098225E-2</v>
      </c>
      <c r="I50" s="20">
        <v>3.6300174520069811E-2</v>
      </c>
      <c r="J50" s="20">
        <v>2.3870644585668222E-2</v>
      </c>
      <c r="K50" s="20">
        <v>4.2228931965677716E-2</v>
      </c>
      <c r="L50">
        <v>4.8411030889940684E-2</v>
      </c>
      <c r="M50">
        <v>3.0980975029726514E-2</v>
      </c>
      <c r="N50">
        <v>0.14121340887629841</v>
      </c>
      <c r="O50">
        <v>4.0626871631064092E-2</v>
      </c>
      <c r="P50" s="56">
        <v>0.30123786407766989</v>
      </c>
      <c r="Q50" s="56">
        <v>0.14154101182696294</v>
      </c>
      <c r="R50">
        <v>2.0882672048718458E-2</v>
      </c>
      <c r="S50">
        <v>5.1079934292629983E-2</v>
      </c>
      <c r="U50" s="20">
        <v>0.52100000000000002</v>
      </c>
      <c r="V50" s="20">
        <v>0.13</v>
      </c>
      <c r="W50" s="20">
        <v>7.1999999999999995E-2</v>
      </c>
      <c r="X50" s="20">
        <v>2.5999999999999999E-2</v>
      </c>
      <c r="Y50">
        <v>0.128</v>
      </c>
      <c r="Z50">
        <v>1.2999999999999999E-2</v>
      </c>
      <c r="AA50">
        <v>0.29399999999999998</v>
      </c>
      <c r="AB50" s="20">
        <v>0.128</v>
      </c>
      <c r="AC50" s="20">
        <v>0.32800000000000001</v>
      </c>
      <c r="AD50">
        <v>8.5876738351966228E-2</v>
      </c>
      <c r="AE50">
        <v>0.19060903153475747</v>
      </c>
      <c r="AF50">
        <v>0.1036106483527692</v>
      </c>
      <c r="AG50" s="23">
        <v>2.7413259999999998E-2</v>
      </c>
      <c r="AH50">
        <v>4.6574180213194212E-2</v>
      </c>
    </row>
    <row r="51" spans="1:34">
      <c r="A51" s="20">
        <v>48</v>
      </c>
      <c r="B51" s="20">
        <v>144</v>
      </c>
      <c r="C51" s="20" t="s">
        <v>69</v>
      </c>
      <c r="D51" s="59" t="s">
        <v>135</v>
      </c>
      <c r="E51" s="59" t="s">
        <v>136</v>
      </c>
      <c r="F51" s="57"/>
      <c r="G51" s="57"/>
      <c r="H51" s="20">
        <v>1.5844090273029268E-2</v>
      </c>
      <c r="I51" s="20">
        <v>4.3237707873595543E-2</v>
      </c>
      <c r="J51" s="20">
        <v>2.702078702689165E-2</v>
      </c>
      <c r="K51" s="20">
        <v>3.4380654712946213E-2</v>
      </c>
      <c r="L51">
        <v>6.1428188942789848E-2</v>
      </c>
      <c r="M51">
        <v>2.45243757431629E-2</v>
      </c>
      <c r="N51">
        <v>0.12343720491029272</v>
      </c>
      <c r="O51">
        <v>5.8768217209023761E-2</v>
      </c>
      <c r="P51" s="56">
        <v>0.26049757281553398</v>
      </c>
      <c r="Q51" s="56">
        <v>0.12783321113200932</v>
      </c>
      <c r="R51">
        <v>2.8442432656299216E-2</v>
      </c>
      <c r="S51">
        <v>5.8103425257866589E-2</v>
      </c>
      <c r="U51" s="20">
        <v>0.60699999999999998</v>
      </c>
      <c r="V51" s="20">
        <v>0.13400000000000001</v>
      </c>
      <c r="W51" s="20">
        <v>8.8999999999999996E-2</v>
      </c>
      <c r="X51" s="20">
        <v>0.01</v>
      </c>
      <c r="Y51">
        <v>0.107</v>
      </c>
      <c r="Z51">
        <v>8.9999999999999993E-3</v>
      </c>
      <c r="AA51">
        <v>0.23200000000000001</v>
      </c>
      <c r="AB51" s="20">
        <v>8.1000000000000003E-2</v>
      </c>
      <c r="AC51" s="20">
        <v>0.39500000000000002</v>
      </c>
      <c r="AD51">
        <v>9.7983147666421772E-2</v>
      </c>
      <c r="AE51">
        <v>0.21058378910311371</v>
      </c>
      <c r="AF51">
        <v>6.5702240505898762E-2</v>
      </c>
      <c r="AG51" s="23">
        <v>2.949152E-2</v>
      </c>
      <c r="AH51">
        <v>5.5239143973788485E-2</v>
      </c>
    </row>
    <row r="52" spans="1:34">
      <c r="A52" s="20">
        <v>49</v>
      </c>
      <c r="B52" s="20">
        <v>147</v>
      </c>
      <c r="C52" s="20" t="s">
        <v>69</v>
      </c>
      <c r="D52" s="59" t="s">
        <v>135</v>
      </c>
      <c r="E52" s="59" t="s">
        <v>136</v>
      </c>
      <c r="F52" s="57"/>
      <c r="G52" s="57"/>
      <c r="H52" s="20">
        <v>2.3542943887812404E-2</v>
      </c>
      <c r="I52" s="20">
        <v>7.2159000764426759E-2</v>
      </c>
      <c r="J52" s="20">
        <v>2.9223930125536111E-2</v>
      </c>
      <c r="K52" s="20">
        <v>3.775026665039348E-2</v>
      </c>
      <c r="L52">
        <v>6.7184599955527918E-2</v>
      </c>
      <c r="M52">
        <v>3.2752675386444705E-2</v>
      </c>
      <c r="N52">
        <v>0.21374881964117087</v>
      </c>
      <c r="O52">
        <v>4.8197244959073668E-2</v>
      </c>
      <c r="P52" s="56">
        <v>0.36270631067961162</v>
      </c>
      <c r="Q52" s="56">
        <v>9.4360674551308615E-2</v>
      </c>
      <c r="R52">
        <v>3.7052160014932854E-2</v>
      </c>
      <c r="S52">
        <v>3.8019723820082542E-2</v>
      </c>
      <c r="U52" s="20">
        <v>0.51300000000000001</v>
      </c>
      <c r="V52" s="20">
        <v>0.187</v>
      </c>
      <c r="W52" s="20">
        <v>0.10299999999999999</v>
      </c>
      <c r="X52" s="20">
        <v>3.6999999999999998E-2</v>
      </c>
      <c r="Y52">
        <v>0.13</v>
      </c>
      <c r="Z52">
        <v>4.2999999999999997E-2</v>
      </c>
      <c r="AA52">
        <v>0.38600000000000001</v>
      </c>
      <c r="AB52" s="20">
        <v>7.4999999999999997E-2</v>
      </c>
      <c r="AC52" s="20">
        <v>0.45100000000000001</v>
      </c>
      <c r="AD52">
        <v>8.67140597178922E-2</v>
      </c>
      <c r="AE52">
        <v>0.1967155771661214</v>
      </c>
      <c r="AF52">
        <v>3.7653418556420626E-2</v>
      </c>
      <c r="AG52" s="23">
        <v>3.8051979999999999E-2</v>
      </c>
      <c r="AH52">
        <v>9.0214909153270573E-2</v>
      </c>
    </row>
    <row r="53" spans="1:34" ht="17.100000000000001" thickBot="1">
      <c r="A53" s="62">
        <v>50</v>
      </c>
      <c r="B53" s="62">
        <v>150</v>
      </c>
      <c r="C53" s="62" t="s">
        <v>69</v>
      </c>
      <c r="D53" s="59" t="s">
        <v>135</v>
      </c>
      <c r="E53" s="59" t="s">
        <v>136</v>
      </c>
      <c r="F53" s="63"/>
      <c r="G53" s="63"/>
      <c r="H53" s="62">
        <v>2.1637038758419838E-2</v>
      </c>
      <c r="I53" s="62">
        <v>5.4161798854802184E-2</v>
      </c>
      <c r="J53" s="62">
        <v>1.3304949441192126E-2</v>
      </c>
      <c r="K53" s="62">
        <v>4.292408025513534E-2</v>
      </c>
      <c r="L53">
        <v>6.7089302650626459E-2</v>
      </c>
      <c r="M53">
        <v>3.8311533888228298E-2</v>
      </c>
      <c r="N53">
        <v>0.24268177525967891</v>
      </c>
      <c r="O53">
        <v>4.8327011379516872E-2</v>
      </c>
      <c r="P53" s="56">
        <v>0.2851456310679612</v>
      </c>
      <c r="Q53" s="56">
        <v>6.1844496158627943E-2</v>
      </c>
      <c r="R53">
        <v>3.8592111249810414E-2</v>
      </c>
      <c r="S53">
        <v>4.5855850103611005E-2</v>
      </c>
      <c r="U53" s="62">
        <v>0.42799999999999999</v>
      </c>
      <c r="V53" s="62">
        <v>0.153</v>
      </c>
      <c r="W53" s="62">
        <v>9.1999999999999998E-2</v>
      </c>
      <c r="X53" s="62">
        <v>1.7999999999999999E-2</v>
      </c>
      <c r="Y53">
        <v>0.09</v>
      </c>
      <c r="Z53">
        <v>3.6999999999999998E-2</v>
      </c>
      <c r="AA53">
        <v>0.31900000000000001</v>
      </c>
      <c r="AB53" s="62">
        <v>8.1000000000000003E-2</v>
      </c>
      <c r="AC53" s="62">
        <v>0.59</v>
      </c>
      <c r="AD53">
        <v>8.218987668539883E-2</v>
      </c>
      <c r="AE53">
        <v>0.18906299835947865</v>
      </c>
      <c r="AF53">
        <v>1.3514432393839461E-2</v>
      </c>
      <c r="AG53" s="23">
        <v>3.5181999999999998E-2</v>
      </c>
      <c r="AH53" s="23">
        <v>6.4987228204457029E-2</v>
      </c>
    </row>
    <row r="54" spans="1:34">
      <c r="A54" s="65"/>
      <c r="B54" s="66" t="s">
        <v>137</v>
      </c>
      <c r="C54" s="67" t="s">
        <v>151</v>
      </c>
      <c r="D54" s="67"/>
      <c r="E54" s="67"/>
      <c r="F54" s="67"/>
      <c r="G54" s="67"/>
      <c r="H54" s="67">
        <f>IFERROR(IF(AVERAGE(H4:H6)=0,"",AVERAGE(H4:H6)),"")</f>
        <v>3.2777667250141133E-2</v>
      </c>
      <c r="I54" s="67">
        <f t="shared" ref="I54:AH54" si="0">IFERROR(IF(AVERAGE(I4:I6)=0,"",AVERAGE(I4:I6)),"")</f>
        <v>3.4341511257265665E-2</v>
      </c>
      <c r="J54" s="67">
        <f t="shared" si="0"/>
        <v>2.9017833849878428E-2</v>
      </c>
      <c r="K54" s="67">
        <f t="shared" si="0"/>
        <v>3.7311598009717929E-2</v>
      </c>
      <c r="L54" s="67">
        <f t="shared" si="0"/>
        <v>3.8095475798266186E-2</v>
      </c>
      <c r="M54" s="67">
        <f t="shared" si="0"/>
        <v>3.1854934601664685E-2</v>
      </c>
      <c r="N54" s="67">
        <f t="shared" si="0"/>
        <v>0.12927289896128422</v>
      </c>
      <c r="O54" s="67">
        <f t="shared" si="0"/>
        <v>3.2659213415851464E-2</v>
      </c>
      <c r="P54" s="69">
        <f t="shared" si="0"/>
        <v>0.61832524271844669</v>
      </c>
      <c r="Q54" s="69">
        <f t="shared" si="0"/>
        <v>0.1310210717587427</v>
      </c>
      <c r="R54" s="67">
        <f t="shared" si="0"/>
        <v>1.9817150234687008E-2</v>
      </c>
      <c r="S54" s="67">
        <f t="shared" si="0"/>
        <v>7.4878540042605315E-2</v>
      </c>
      <c r="T54" s="67"/>
      <c r="U54" s="67">
        <f t="shared" si="0"/>
        <v>0.3833333333333333</v>
      </c>
      <c r="V54" s="67">
        <f t="shared" si="0"/>
        <v>0.39866666666666667</v>
      </c>
      <c r="W54" s="67">
        <f t="shared" si="0"/>
        <v>0.10299999999999999</v>
      </c>
      <c r="X54" s="67">
        <f>IFERROR(IF(AVERAGE(X4:X6)=0,"",AVERAGE(X4:X6)),"")</f>
        <v>4.933333333333334E-2</v>
      </c>
      <c r="Y54" s="67">
        <f t="shared" si="0"/>
        <v>0.11533333333333333</v>
      </c>
      <c r="Z54" s="67">
        <f t="shared" si="0"/>
        <v>8.533333333333333E-2</v>
      </c>
      <c r="AA54" s="67">
        <f t="shared" si="0"/>
        <v>0.46500000000000002</v>
      </c>
      <c r="AB54" s="67">
        <f t="shared" si="0"/>
        <v>1.4999999999999999E-2</v>
      </c>
      <c r="AC54" s="67">
        <f t="shared" si="0"/>
        <v>0.28366666666666668</v>
      </c>
      <c r="AD54" s="67">
        <f t="shared" si="0"/>
        <v>7.3856377873534676E-2</v>
      </c>
      <c r="AE54" s="67">
        <f t="shared" si="0"/>
        <v>0.13326565015636443</v>
      </c>
      <c r="AF54" s="67">
        <f t="shared" si="0"/>
        <v>2.9097111254660638E-2</v>
      </c>
      <c r="AG54" s="67">
        <f t="shared" si="0"/>
        <v>4.9795800000000001E-2</v>
      </c>
      <c r="AH54" s="67">
        <f t="shared" si="0"/>
        <v>8.9763608957406274E-2</v>
      </c>
    </row>
    <row r="55" spans="1:34">
      <c r="A55" s="70"/>
      <c r="B55" s="71" t="s">
        <v>139</v>
      </c>
      <c r="C55" s="72" t="s">
        <v>140</v>
      </c>
      <c r="D55" s="73"/>
      <c r="E55" s="73"/>
      <c r="F55" s="73"/>
      <c r="G55" s="73"/>
      <c r="H55" s="74">
        <f>IFERROR(IF(AVERAGE(H4:H6)=0,"",AVERAGE(H33:H34)),"")</f>
        <v>4.021877784669501E-2</v>
      </c>
      <c r="I55" s="74">
        <f t="shared" ref="I55:AH55" si="1">IFERROR(IF(AVERAGE(I4:I6)=0,"",AVERAGE(I33:I34)),"")</f>
        <v>9.1657652200250961E-2</v>
      </c>
      <c r="J55" s="74">
        <f t="shared" si="1"/>
        <v>9.6578280061359295E-2</v>
      </c>
      <c r="K55" s="74">
        <f t="shared" si="1"/>
        <v>7.697838672532091E-2</v>
      </c>
      <c r="L55" s="74">
        <f t="shared" si="1"/>
        <v>9.323820242055153E-2</v>
      </c>
      <c r="M55" s="74">
        <f t="shared" si="1"/>
        <v>5.1429845422116531E-2</v>
      </c>
      <c r="N55" s="74">
        <f t="shared" si="1"/>
        <v>0.27435788479697826</v>
      </c>
      <c r="O55" s="74">
        <f t="shared" si="1"/>
        <v>6.3732281892593334E-2</v>
      </c>
      <c r="P55" s="76">
        <f t="shared" si="1"/>
        <v>0.41270631067961161</v>
      </c>
      <c r="Q55" s="76">
        <f t="shared" si="1"/>
        <v>0.46510886544040292</v>
      </c>
      <c r="R55" s="74">
        <f t="shared" si="1"/>
        <v>4.8181807576093416E-2</v>
      </c>
      <c r="S55" s="74">
        <f t="shared" si="1"/>
        <v>9.5949012938315176E-2</v>
      </c>
      <c r="T55" s="74"/>
      <c r="U55" s="74">
        <f t="shared" si="1"/>
        <v>0.71799999999999997</v>
      </c>
      <c r="V55" s="74">
        <f t="shared" si="1"/>
        <v>0.34950000000000003</v>
      </c>
      <c r="W55" s="74">
        <f t="shared" si="1"/>
        <v>0.13400000000000001</v>
      </c>
      <c r="X55" s="74">
        <f t="shared" si="1"/>
        <v>4.5999999999999999E-2</v>
      </c>
      <c r="Y55" s="74">
        <f t="shared" si="1"/>
        <v>0.16350000000000001</v>
      </c>
      <c r="Z55" s="74">
        <f t="shared" si="1"/>
        <v>5.3499999999999999E-2</v>
      </c>
      <c r="AA55" s="74">
        <f t="shared" si="1"/>
        <v>0.72150000000000003</v>
      </c>
      <c r="AB55" s="74">
        <f t="shared" si="1"/>
        <v>0.10500000000000001</v>
      </c>
      <c r="AC55" s="74">
        <f t="shared" si="1"/>
        <v>0.60850000000000004</v>
      </c>
      <c r="AD55" s="74">
        <f t="shared" si="1"/>
        <v>0.12183191352753894</v>
      </c>
      <c r="AE55" s="74">
        <f t="shared" si="1"/>
        <v>0.16572140389061207</v>
      </c>
      <c r="AF55" s="74">
        <f t="shared" si="1"/>
        <v>8.954373916295516E-2</v>
      </c>
      <c r="AG55" s="74">
        <f t="shared" si="1"/>
        <v>7.7563684999999993E-2</v>
      </c>
      <c r="AH55" s="74">
        <f t="shared" si="1"/>
        <v>0.13049345163415801</v>
      </c>
    </row>
    <row r="56" spans="1:34">
      <c r="A56" s="70"/>
      <c r="B56" s="71" t="s">
        <v>141</v>
      </c>
      <c r="C56" s="72" t="s">
        <v>142</v>
      </c>
      <c r="D56" s="73"/>
      <c r="E56" s="73"/>
      <c r="F56" s="73"/>
      <c r="G56" s="73"/>
      <c r="H56" s="74">
        <f>IFERROR(IF(AVERAGE(H4:H6)=0,"",MIN(H33:H39)),"")</f>
        <v>1.1455492935612172E-2</v>
      </c>
      <c r="I56" s="74">
        <f t="shared" ref="I56:AH56" si="2">IFERROR(IF(AVERAGE(I4:I6)=0,"",MIN(I33:I39)),"")</f>
        <v>1.5300073558045951E-2</v>
      </c>
      <c r="J56" s="74">
        <f t="shared" si="2"/>
        <v>2.3761074413799578E-2</v>
      </c>
      <c r="K56" s="74">
        <f t="shared" si="2"/>
        <v>1.0395385488912119E-2</v>
      </c>
      <c r="L56" s="74">
        <f t="shared" si="2"/>
        <v>1.5676406656289846E-2</v>
      </c>
      <c r="M56" s="74">
        <f t="shared" si="2"/>
        <v>1.9441141498216411E-2</v>
      </c>
      <c r="N56" s="74">
        <f t="shared" si="2"/>
        <v>0.14098677998111425</v>
      </c>
      <c r="O56" s="74">
        <f t="shared" si="2"/>
        <v>3.202235975244559E-3</v>
      </c>
      <c r="P56" s="76">
        <f t="shared" si="2"/>
        <v>0.11614077669902913</v>
      </c>
      <c r="Q56" s="76">
        <f t="shared" si="2"/>
        <v>7.6508655041601578E-2</v>
      </c>
      <c r="R56" s="74">
        <f t="shared" si="2"/>
        <v>7.1397739071596055E-3</v>
      </c>
      <c r="S56" s="74">
        <f t="shared" si="2"/>
        <v>1.6078570226202845E-2</v>
      </c>
      <c r="T56" s="74"/>
      <c r="U56" s="74">
        <f t="shared" si="2"/>
        <v>0.216</v>
      </c>
      <c r="V56" s="74">
        <f t="shared" si="2"/>
        <v>0.115</v>
      </c>
      <c r="W56" s="74">
        <f t="shared" si="2"/>
        <v>0.05</v>
      </c>
      <c r="X56" s="74">
        <f t="shared" si="2"/>
        <v>7.0000000000000001E-3</v>
      </c>
      <c r="Y56" s="74">
        <f t="shared" si="2"/>
        <v>2.5000000000000001E-2</v>
      </c>
      <c r="Z56" s="74">
        <f t="shared" si="2"/>
        <v>6.0000000000000001E-3</v>
      </c>
      <c r="AA56" s="74">
        <f t="shared" si="2"/>
        <v>0.14599999999999999</v>
      </c>
      <c r="AB56" s="74">
        <f t="shared" si="2"/>
        <v>6.7000000000000004E-2</v>
      </c>
      <c r="AC56" s="74">
        <f t="shared" si="2"/>
        <v>5.3999999999999999E-2</v>
      </c>
      <c r="AD56" s="74">
        <f t="shared" si="2"/>
        <v>4.8683783765894217E-2</v>
      </c>
      <c r="AE56" s="74">
        <f t="shared" si="2"/>
        <v>0.16371236043961707</v>
      </c>
      <c r="AF56" s="74">
        <f t="shared" si="2"/>
        <v>2.1844082548532963E-2</v>
      </c>
      <c r="AG56" s="74">
        <f t="shared" si="2"/>
        <v>1.0985099999999999E-2</v>
      </c>
      <c r="AH56" s="74">
        <f t="shared" si="2"/>
        <v>3.1229973553808518E-2</v>
      </c>
    </row>
    <row r="57" spans="1:34">
      <c r="A57" s="70"/>
      <c r="B57" s="77"/>
      <c r="C57" s="72" t="s">
        <v>143</v>
      </c>
      <c r="D57" s="73"/>
      <c r="E57" s="73"/>
      <c r="F57" s="73"/>
      <c r="G57" s="73"/>
      <c r="H57" s="72">
        <f>IFERROR(IF(AVERAGE(H4:H6)=0,"",-(H56/H55)),"")</f>
        <v>-0.28482946397023673</v>
      </c>
      <c r="I57" s="72">
        <f t="shared" ref="I57:AH57" si="3">IFERROR(IF(AVERAGE(I4:I6)=0,"",-(I56/I55)),"")</f>
        <v>-0.16692630883255438</v>
      </c>
      <c r="J57" s="72">
        <f t="shared" si="3"/>
        <v>-0.24602917341977307</v>
      </c>
      <c r="K57" s="72">
        <f t="shared" si="3"/>
        <v>-0.13504291179815944</v>
      </c>
      <c r="L57" s="72">
        <f t="shared" si="3"/>
        <v>-0.16813287096185434</v>
      </c>
      <c r="M57" s="72">
        <f t="shared" si="3"/>
        <v>-0.37801283162822957</v>
      </c>
      <c r="N57" s="72">
        <f t="shared" si="3"/>
        <v>-0.51387908929769921</v>
      </c>
      <c r="O57" s="72">
        <f t="shared" si="3"/>
        <v>-5.0245117233386052E-2</v>
      </c>
      <c r="P57" s="79">
        <f t="shared" si="3"/>
        <v>-0.28141265033669544</v>
      </c>
      <c r="Q57" s="79">
        <f t="shared" si="3"/>
        <v>-0.16449623029472241</v>
      </c>
      <c r="R57" s="72">
        <f t="shared" si="3"/>
        <v>-0.14818401937046005</v>
      </c>
      <c r="S57" s="72">
        <f t="shared" si="3"/>
        <v>-0.1675741076830006</v>
      </c>
      <c r="T57" s="72"/>
      <c r="U57" s="72">
        <f t="shared" si="3"/>
        <v>-0.30083565459610029</v>
      </c>
      <c r="V57" s="72">
        <f t="shared" si="3"/>
        <v>-0.32904148783977111</v>
      </c>
      <c r="W57" s="72">
        <f t="shared" si="3"/>
        <v>-0.37313432835820898</v>
      </c>
      <c r="X57" s="72">
        <f t="shared" si="3"/>
        <v>-0.15217391304347827</v>
      </c>
      <c r="Y57" s="72">
        <f t="shared" si="3"/>
        <v>-0.1529051987767584</v>
      </c>
      <c r="Z57" s="72">
        <f t="shared" si="3"/>
        <v>-0.11214953271028037</v>
      </c>
      <c r="AA57" s="72">
        <f t="shared" si="3"/>
        <v>-0.20235620235620233</v>
      </c>
      <c r="AB57" s="72">
        <f t="shared" si="3"/>
        <v>-0.63809523809523805</v>
      </c>
      <c r="AC57" s="72">
        <f t="shared" si="3"/>
        <v>-8.8742810188989316E-2</v>
      </c>
      <c r="AD57" s="72">
        <f t="shared" si="3"/>
        <v>-0.39959795718787355</v>
      </c>
      <c r="AE57" s="72">
        <f t="shared" si="3"/>
        <v>-0.9878769826719479</v>
      </c>
      <c r="AF57" s="72">
        <f t="shared" si="3"/>
        <v>-0.24394874228761271</v>
      </c>
      <c r="AG57" s="72">
        <f t="shared" si="3"/>
        <v>-0.141626845088652</v>
      </c>
      <c r="AH57" s="72">
        <f t="shared" si="3"/>
        <v>-0.23932215113263008</v>
      </c>
    </row>
    <row r="58" spans="1:34">
      <c r="B58" t="s">
        <v>144</v>
      </c>
      <c r="U58">
        <v>17.420000000000002</v>
      </c>
      <c r="V58">
        <v>7.6710000000000003</v>
      </c>
      <c r="W58">
        <v>5.2140000000000004</v>
      </c>
      <c r="X58">
        <v>4.2469999999999999</v>
      </c>
      <c r="Y58">
        <v>6.9240000000000004</v>
      </c>
      <c r="Z58">
        <v>7.633</v>
      </c>
      <c r="AA58">
        <v>27.24</v>
      </c>
      <c r="AB58">
        <v>4.53</v>
      </c>
      <c r="AC58">
        <v>9.2390000000000008</v>
      </c>
      <c r="AD58">
        <v>5.8769999999999998</v>
      </c>
      <c r="AE58">
        <v>0</v>
      </c>
      <c r="AF58">
        <v>4.1280000000000001</v>
      </c>
      <c r="AG58">
        <v>8.234</v>
      </c>
      <c r="AH58">
        <v>5.1369999999999996</v>
      </c>
    </row>
    <row r="59" spans="1:34">
      <c r="B59" t="s">
        <v>145</v>
      </c>
      <c r="U59">
        <v>3.7480000000000002</v>
      </c>
      <c r="V59">
        <v>2.5289999999999999</v>
      </c>
      <c r="W59">
        <v>1.103</v>
      </c>
      <c r="X59">
        <v>0.74909999999999999</v>
      </c>
      <c r="Y59">
        <v>1.1739999999999999</v>
      </c>
      <c r="Z59">
        <v>1.371</v>
      </c>
      <c r="AA59">
        <v>5.2489999999999997</v>
      </c>
      <c r="AB59">
        <v>0.62819999999999998</v>
      </c>
      <c r="AC59">
        <v>1.8680000000000001</v>
      </c>
      <c r="AD59">
        <v>1.044</v>
      </c>
      <c r="AE59">
        <v>6.88E-2</v>
      </c>
      <c r="AF59">
        <v>0.56689999999999996</v>
      </c>
      <c r="AG59">
        <v>1.3560000000000001</v>
      </c>
      <c r="AH59">
        <v>0.65300000000000002</v>
      </c>
    </row>
    <row r="60" spans="1:34">
      <c r="B60" t="s">
        <v>146</v>
      </c>
      <c r="U60">
        <f>U58-U59</f>
        <v>13.672000000000001</v>
      </c>
      <c r="V60">
        <f t="shared" ref="V60:AH60" si="4">V58-V59</f>
        <v>5.1420000000000003</v>
      </c>
      <c r="W60">
        <f t="shared" si="4"/>
        <v>4.1110000000000007</v>
      </c>
      <c r="X60">
        <f t="shared" si="4"/>
        <v>3.4979</v>
      </c>
      <c r="Y60">
        <f t="shared" si="4"/>
        <v>5.75</v>
      </c>
      <c r="Z60">
        <f t="shared" si="4"/>
        <v>6.2620000000000005</v>
      </c>
      <c r="AA60">
        <f t="shared" si="4"/>
        <v>21.991</v>
      </c>
      <c r="AB60">
        <f t="shared" si="4"/>
        <v>3.9018000000000002</v>
      </c>
      <c r="AC60">
        <f t="shared" si="4"/>
        <v>7.3710000000000004</v>
      </c>
      <c r="AD60">
        <f t="shared" si="4"/>
        <v>4.8330000000000002</v>
      </c>
      <c r="AE60">
        <f t="shared" si="4"/>
        <v>-6.88E-2</v>
      </c>
      <c r="AF60">
        <f t="shared" si="4"/>
        <v>3.5611000000000002</v>
      </c>
      <c r="AG60">
        <f t="shared" si="4"/>
        <v>6.8780000000000001</v>
      </c>
      <c r="AH60">
        <f t="shared" si="4"/>
        <v>4.484</v>
      </c>
    </row>
    <row r="61" spans="1:34">
      <c r="B61" t="s">
        <v>147</v>
      </c>
      <c r="U61">
        <v>18.53</v>
      </c>
      <c r="V61">
        <v>9.8149999999999995</v>
      </c>
      <c r="W61">
        <v>6.2030000000000003</v>
      </c>
      <c r="X61">
        <v>2.895</v>
      </c>
      <c r="Y61">
        <v>5.89</v>
      </c>
      <c r="Z61">
        <v>7.1879999999999997</v>
      </c>
      <c r="AA61">
        <v>25.97</v>
      </c>
      <c r="AB61">
        <v>2.819</v>
      </c>
      <c r="AC61">
        <v>7.6150000000000002</v>
      </c>
      <c r="AD61">
        <v>5.4020000000000001</v>
      </c>
      <c r="AE61">
        <v>0.31080000000000002</v>
      </c>
      <c r="AF61">
        <v>3.4710000000000001</v>
      </c>
      <c r="AG61">
        <v>6.4480000000000004</v>
      </c>
      <c r="AH61">
        <v>2.4660000000000002</v>
      </c>
    </row>
    <row r="62" spans="1:34">
      <c r="B62" t="s">
        <v>148</v>
      </c>
      <c r="U62">
        <v>-3.8759999999999999</v>
      </c>
      <c r="V62">
        <v>-0.88670000000000004</v>
      </c>
      <c r="W62">
        <v>0.2742</v>
      </c>
      <c r="X62">
        <v>-0.1196</v>
      </c>
      <c r="Y62">
        <v>-0.1399</v>
      </c>
      <c r="Z62">
        <v>-9.5630000000000007E-2</v>
      </c>
      <c r="AA62">
        <v>-1.0069999999999999</v>
      </c>
      <c r="AB62">
        <v>0.12379999999999999</v>
      </c>
      <c r="AC62">
        <v>-4.4349999999999996</v>
      </c>
      <c r="AD62">
        <v>-0.45700000000000002</v>
      </c>
      <c r="AE62">
        <v>1.1299999999999999</v>
      </c>
      <c r="AF62">
        <v>-2.843E-2</v>
      </c>
      <c r="AG62">
        <v>-0.71040000000000003</v>
      </c>
      <c r="AH62">
        <v>-0.65710000000000002</v>
      </c>
    </row>
    <row r="63" spans="1:34">
      <c r="B63" t="s">
        <v>149</v>
      </c>
      <c r="U63">
        <v>5.569</v>
      </c>
      <c r="V63">
        <v>3.8380000000000001</v>
      </c>
      <c r="W63">
        <v>3.081</v>
      </c>
      <c r="X63">
        <v>2.5350000000000001</v>
      </c>
      <c r="Y63">
        <v>1.867</v>
      </c>
      <c r="Z63">
        <v>3.2349999999999999</v>
      </c>
      <c r="AA63">
        <v>10.81</v>
      </c>
      <c r="AB63">
        <v>3.117</v>
      </c>
      <c r="AC63">
        <v>0</v>
      </c>
      <c r="AD63">
        <v>1.61</v>
      </c>
      <c r="AE63">
        <v>0.89700000000000002</v>
      </c>
      <c r="AF63">
        <v>5.1970000000000001</v>
      </c>
      <c r="AG63">
        <v>1.764</v>
      </c>
      <c r="AH63">
        <v>2.1139999999999999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1365-AA5E-D94F-8B49-2DAA9AA8A084}">
  <dimension ref="A1:AI61"/>
  <sheetViews>
    <sheetView topLeftCell="N23" workbookViewId="0">
      <selection activeCell="AE3" sqref="AE3"/>
    </sheetView>
  </sheetViews>
  <sheetFormatPr defaultColWidth="11" defaultRowHeight="15.95"/>
  <cols>
    <col min="3" max="3" width="36" bestFit="1" customWidth="1"/>
    <col min="4" max="4" width="7.625" customWidth="1"/>
    <col min="5" max="7" width="6.625" customWidth="1"/>
    <col min="17" max="17" width="10.875" style="54" customWidth="1"/>
    <col min="25" max="25" width="11" style="56"/>
    <col min="32" max="32" width="10.875" style="54" customWidth="1"/>
    <col min="33" max="33" width="10.875" customWidth="1"/>
    <col min="34" max="34" width="11" style="56"/>
  </cols>
  <sheetData>
    <row r="1" spans="1:35" ht="21.95">
      <c r="A1" s="32" t="s">
        <v>152</v>
      </c>
      <c r="D1" s="33" t="s">
        <v>95</v>
      </c>
      <c r="E1" s="34" t="s">
        <v>96</v>
      </c>
      <c r="F1" s="35"/>
      <c r="H1" s="36" t="s">
        <v>97</v>
      </c>
      <c r="I1" s="36"/>
      <c r="J1" s="36"/>
      <c r="K1" s="36"/>
      <c r="L1" s="36"/>
      <c r="M1" s="36"/>
      <c r="N1" s="36"/>
      <c r="O1" s="36"/>
      <c r="P1" s="36"/>
      <c r="Q1" s="37"/>
      <c r="R1" s="36"/>
      <c r="S1" s="36"/>
      <c r="T1" s="36"/>
      <c r="V1" s="36" t="s">
        <v>98</v>
      </c>
      <c r="W1" s="36"/>
      <c r="X1" s="36"/>
      <c r="Y1" s="82"/>
      <c r="Z1" s="36"/>
      <c r="AA1" s="36"/>
      <c r="AB1" s="36"/>
      <c r="AC1" s="36"/>
      <c r="AD1" s="36"/>
      <c r="AE1" s="36"/>
      <c r="AF1" s="37"/>
      <c r="AG1" s="36"/>
      <c r="AH1" s="82"/>
      <c r="AI1" s="82"/>
    </row>
    <row r="2" spans="1:35" ht="21.95">
      <c r="A2" s="32"/>
      <c r="D2" s="40" t="s">
        <v>99</v>
      </c>
      <c r="E2" s="41"/>
      <c r="H2" s="36"/>
      <c r="I2" s="36"/>
      <c r="J2" s="36"/>
      <c r="K2" s="36"/>
      <c r="L2" s="36"/>
      <c r="M2" s="36"/>
      <c r="N2" s="36"/>
      <c r="O2" s="36"/>
      <c r="P2" s="36"/>
      <c r="Q2" s="37"/>
      <c r="R2" s="36"/>
      <c r="S2" s="36"/>
      <c r="T2" s="36"/>
      <c r="V2" s="36"/>
      <c r="W2" s="36"/>
      <c r="X2" s="36"/>
      <c r="Y2" s="82"/>
      <c r="Z2" s="36"/>
      <c r="AA2" s="36"/>
      <c r="AB2" s="36"/>
      <c r="AC2" s="36"/>
      <c r="AD2" s="36"/>
      <c r="AE2" s="36"/>
      <c r="AF2" s="37"/>
      <c r="AG2" s="36"/>
      <c r="AH2" s="82"/>
      <c r="AI2" s="82"/>
    </row>
    <row r="3" spans="1:35" s="51" customFormat="1" ht="51">
      <c r="A3" s="42" t="s">
        <v>61</v>
      </c>
      <c r="B3" s="42" t="s">
        <v>100</v>
      </c>
      <c r="C3" s="42" t="s">
        <v>63</v>
      </c>
      <c r="D3" s="42" t="s">
        <v>101</v>
      </c>
      <c r="E3" s="42" t="s">
        <v>102</v>
      </c>
      <c r="F3" s="43" t="s">
        <v>103</v>
      </c>
      <c r="G3" s="43"/>
      <c r="H3" s="42" t="s">
        <v>104</v>
      </c>
      <c r="I3" s="42" t="s">
        <v>105</v>
      </c>
      <c r="J3" s="42" t="s">
        <v>106</v>
      </c>
      <c r="K3" s="42" t="s">
        <v>107</v>
      </c>
      <c r="L3" s="42" t="s">
        <v>108</v>
      </c>
      <c r="M3" s="44" t="s">
        <v>109</v>
      </c>
      <c r="N3" s="45" t="s">
        <v>110</v>
      </c>
      <c r="O3" s="45" t="s">
        <v>111</v>
      </c>
      <c r="P3" s="45" t="s">
        <v>112</v>
      </c>
      <c r="Q3" s="46" t="s">
        <v>113</v>
      </c>
      <c r="R3" s="45" t="s">
        <v>114</v>
      </c>
      <c r="S3" s="45" t="s">
        <v>115</v>
      </c>
      <c r="T3" s="45"/>
      <c r="U3" s="47"/>
      <c r="V3" s="48" t="s">
        <v>116</v>
      </c>
      <c r="W3" s="48" t="s">
        <v>117</v>
      </c>
      <c r="X3" s="48" t="s">
        <v>118</v>
      </c>
      <c r="Y3" s="83" t="s">
        <v>119</v>
      </c>
      <c r="Z3" s="45" t="s">
        <v>120</v>
      </c>
      <c r="AA3" s="45" t="s">
        <v>121</v>
      </c>
      <c r="AB3" s="45" t="s">
        <v>122</v>
      </c>
      <c r="AC3" s="45" t="s">
        <v>123</v>
      </c>
      <c r="AD3" s="45" t="s">
        <v>124</v>
      </c>
      <c r="AE3" s="45" t="s">
        <v>125</v>
      </c>
      <c r="AF3" s="46" t="s">
        <v>126</v>
      </c>
      <c r="AG3" s="45" t="s">
        <v>127</v>
      </c>
      <c r="AH3" s="49" t="s">
        <v>128</v>
      </c>
      <c r="AI3" s="50" t="s">
        <v>129</v>
      </c>
    </row>
    <row r="4" spans="1:35">
      <c r="A4" s="52">
        <v>1</v>
      </c>
      <c r="B4" s="52">
        <v>3</v>
      </c>
      <c r="C4" s="52" t="s">
        <v>68</v>
      </c>
      <c r="D4" s="20"/>
      <c r="E4" s="20"/>
      <c r="F4" s="61" t="s">
        <v>134</v>
      </c>
      <c r="G4" s="53"/>
      <c r="H4" s="52">
        <v>121.49474452554743</v>
      </c>
      <c r="I4" s="52">
        <v>156.94108614232209</v>
      </c>
      <c r="J4" s="52">
        <v>15.328939237899075</v>
      </c>
      <c r="K4" s="52">
        <v>24.557478991596639</v>
      </c>
      <c r="L4">
        <v>118.0745037968908</v>
      </c>
      <c r="M4">
        <v>21.34182108626198</v>
      </c>
      <c r="N4" s="52">
        <v>17.042832167832167</v>
      </c>
      <c r="O4">
        <v>62.081264367816097</v>
      </c>
      <c r="P4">
        <v>33.25158088235294</v>
      </c>
      <c r="Q4" s="54">
        <v>18.3742538920682</v>
      </c>
      <c r="R4">
        <v>40.102581686740109</v>
      </c>
      <c r="S4">
        <v>6.3638513513513519</v>
      </c>
      <c r="V4" s="52">
        <v>26.01</v>
      </c>
      <c r="W4" s="52">
        <v>20.72</v>
      </c>
      <c r="X4" s="52">
        <v>32.700000000000003</v>
      </c>
      <c r="Y4" s="84">
        <v>157.33000000000001</v>
      </c>
      <c r="Z4">
        <v>27.97</v>
      </c>
      <c r="AA4">
        <v>45.38</v>
      </c>
      <c r="AB4">
        <v>60.77</v>
      </c>
      <c r="AC4" s="52">
        <v>25.1</v>
      </c>
      <c r="AD4" s="52">
        <v>37.200000000000003</v>
      </c>
      <c r="AE4" s="52">
        <v>33.25158088235294</v>
      </c>
      <c r="AF4" s="85">
        <v>5.2323056882327398E-2</v>
      </c>
      <c r="AG4">
        <v>32.11815878713184</v>
      </c>
      <c r="AH4" s="56">
        <v>307.13601630854896</v>
      </c>
      <c r="AI4">
        <v>23.671212655399998</v>
      </c>
    </row>
    <row r="5" spans="1:35">
      <c r="A5" s="20">
        <v>2</v>
      </c>
      <c r="B5" s="20">
        <v>6</v>
      </c>
      <c r="C5" s="20" t="s">
        <v>69</v>
      </c>
      <c r="D5" s="20"/>
      <c r="E5" s="20"/>
      <c r="F5" s="61" t="s">
        <v>134</v>
      </c>
      <c r="G5" s="57"/>
      <c r="H5" s="20">
        <v>95.472992700729918</v>
      </c>
      <c r="I5" s="20">
        <v>128.62393258426968</v>
      </c>
      <c r="J5" s="20">
        <v>7.489935399307182</v>
      </c>
      <c r="K5" s="20">
        <v>17.253781512605041</v>
      </c>
      <c r="L5">
        <v>95.392138969461925</v>
      </c>
      <c r="M5">
        <v>19.587635782747604</v>
      </c>
      <c r="N5" s="20">
        <v>24.691363636363636</v>
      </c>
      <c r="O5">
        <v>76.634406130268204</v>
      </c>
      <c r="P5">
        <v>29.519889705882353</v>
      </c>
      <c r="Q5" s="54">
        <v>17.342281198985042</v>
      </c>
      <c r="R5">
        <v>37.896289628962897</v>
      </c>
      <c r="S5">
        <v>5.4506756756756758</v>
      </c>
      <c r="V5" s="20">
        <v>22.2</v>
      </c>
      <c r="W5" s="20">
        <v>11.37</v>
      </c>
      <c r="X5" s="20">
        <v>33.49</v>
      </c>
      <c r="Y5" s="86">
        <v>127.98</v>
      </c>
      <c r="Z5">
        <v>15.12</v>
      </c>
      <c r="AA5">
        <v>28.75</v>
      </c>
      <c r="AB5">
        <v>43.16</v>
      </c>
      <c r="AC5" s="20">
        <v>31.32</v>
      </c>
      <c r="AD5" s="20">
        <v>36.94</v>
      </c>
      <c r="AE5" s="20">
        <v>29.519889705882353</v>
      </c>
      <c r="AF5" s="87">
        <v>6.0175133883340566E-2</v>
      </c>
      <c r="AG5">
        <v>29.906915899975136</v>
      </c>
      <c r="AH5" s="56">
        <v>316.2551904830313</v>
      </c>
      <c r="AI5">
        <v>22.681067972361618</v>
      </c>
    </row>
    <row r="6" spans="1:35">
      <c r="A6" s="20">
        <v>3</v>
      </c>
      <c r="B6" s="20">
        <v>9</v>
      </c>
      <c r="C6" s="20" t="s">
        <v>69</v>
      </c>
      <c r="D6" s="20"/>
      <c r="E6" s="20"/>
      <c r="F6" s="61" t="s">
        <v>134</v>
      </c>
      <c r="G6" s="57"/>
      <c r="H6" s="20">
        <v>93.03</v>
      </c>
      <c r="I6" s="20">
        <v>110.29588014981273</v>
      </c>
      <c r="J6" s="20">
        <v>10.877146334612863</v>
      </c>
      <c r="K6" s="20">
        <v>18.101050420168068</v>
      </c>
      <c r="L6">
        <v>98.238047127073642</v>
      </c>
      <c r="M6">
        <v>22.578274760383387</v>
      </c>
      <c r="N6" s="20">
        <v>21.265454545454546</v>
      </c>
      <c r="O6">
        <v>57.48524904214559</v>
      </c>
      <c r="P6">
        <v>21.057720588235295</v>
      </c>
      <c r="Q6" s="54">
        <v>16.906832882682334</v>
      </c>
      <c r="R6">
        <v>35.971811466860977</v>
      </c>
      <c r="S6">
        <v>6.9719594594594589</v>
      </c>
      <c r="V6" s="20">
        <v>13.65</v>
      </c>
      <c r="W6" s="20">
        <v>17.11</v>
      </c>
      <c r="X6" s="20">
        <v>21.74</v>
      </c>
      <c r="Y6" s="86">
        <v>103.35</v>
      </c>
      <c r="Z6">
        <v>23.49</v>
      </c>
      <c r="AA6">
        <v>36.909999999999997</v>
      </c>
      <c r="AB6">
        <v>50.99</v>
      </c>
      <c r="AC6" s="20">
        <v>27.79</v>
      </c>
      <c r="AD6" s="20">
        <v>32.24</v>
      </c>
      <c r="AE6" s="20">
        <v>21.057720588235295</v>
      </c>
      <c r="AF6" s="87">
        <v>5.1961210015921265E-2</v>
      </c>
      <c r="AG6">
        <v>31.766075296135728</v>
      </c>
      <c r="AH6" s="56">
        <v>310.45621524001064</v>
      </c>
      <c r="AI6">
        <v>20.459585292479844</v>
      </c>
    </row>
    <row r="7" spans="1:35">
      <c r="A7" s="20">
        <v>4</v>
      </c>
      <c r="B7" s="20">
        <v>12</v>
      </c>
      <c r="C7" s="20" t="s">
        <v>70</v>
      </c>
      <c r="D7" s="20"/>
      <c r="E7" s="20"/>
      <c r="F7" s="61" t="s">
        <v>134</v>
      </c>
      <c r="G7" s="57"/>
      <c r="H7" s="20">
        <v>79.073722627737226</v>
      </c>
      <c r="I7" s="20">
        <v>117.18711610486891</v>
      </c>
      <c r="J7" s="20">
        <v>13.091433386387044</v>
      </c>
      <c r="K7" s="20">
        <v>19.676764705882352</v>
      </c>
      <c r="L7">
        <v>112.52768634097059</v>
      </c>
      <c r="M7">
        <v>20.127667731629394</v>
      </c>
      <c r="N7" s="20">
        <v>30.988006993006991</v>
      </c>
      <c r="O7">
        <v>69.014061302681981</v>
      </c>
      <c r="P7">
        <v>29.381617647058828</v>
      </c>
      <c r="Q7" s="54">
        <v>16.657074496773049</v>
      </c>
      <c r="R7">
        <v>37.914862914862915</v>
      </c>
      <c r="S7">
        <v>6.3695945945945942</v>
      </c>
      <c r="V7" s="20">
        <v>19.760000000000002</v>
      </c>
      <c r="W7" s="20">
        <v>18.7</v>
      </c>
      <c r="X7" s="20">
        <v>33.57</v>
      </c>
      <c r="Y7" s="86">
        <v>123.59</v>
      </c>
      <c r="Z7">
        <v>27.04</v>
      </c>
      <c r="AA7">
        <v>49.45</v>
      </c>
      <c r="AB7">
        <v>63.38</v>
      </c>
      <c r="AC7" s="20">
        <v>32.24</v>
      </c>
      <c r="AD7" s="20">
        <v>33.03</v>
      </c>
      <c r="AE7" s="20">
        <v>29.381617647058828</v>
      </c>
      <c r="AF7" s="87">
        <v>9.5889419597626285E-2</v>
      </c>
      <c r="AG7">
        <v>39.714441189083608</v>
      </c>
      <c r="AH7" s="56">
        <v>315.6453301044595</v>
      </c>
      <c r="AI7">
        <v>20.048699961448609</v>
      </c>
    </row>
    <row r="8" spans="1:35">
      <c r="A8" s="20">
        <v>5</v>
      </c>
      <c r="B8" s="20">
        <v>15</v>
      </c>
      <c r="C8" s="20" t="s">
        <v>70</v>
      </c>
      <c r="D8" s="20"/>
      <c r="E8" s="20"/>
      <c r="F8" s="61" t="s">
        <v>134</v>
      </c>
      <c r="G8" s="57"/>
      <c r="H8" s="20">
        <v>95.245328467153271</v>
      </c>
      <c r="I8" s="20">
        <v>80.500224719101112</v>
      </c>
      <c r="J8" s="20">
        <v>15.557606965639925</v>
      </c>
      <c r="K8" s="20">
        <v>20.891974789915967</v>
      </c>
      <c r="L8">
        <v>107.54574194179189</v>
      </c>
      <c r="M8">
        <v>22.429904153354634</v>
      </c>
      <c r="N8" s="20">
        <v>28.925384615384615</v>
      </c>
      <c r="O8">
        <v>74.225249042145592</v>
      </c>
      <c r="P8">
        <v>17.152977941176474</v>
      </c>
      <c r="Q8" s="54">
        <v>17.669138912718491</v>
      </c>
      <c r="R8">
        <v>37.866643807237871</v>
      </c>
      <c r="S8">
        <v>6.3472972972972972</v>
      </c>
      <c r="V8" s="20">
        <v>8.9499999999999993</v>
      </c>
      <c r="W8" s="20">
        <v>16.82</v>
      </c>
      <c r="X8" s="20">
        <v>19.190000000000001</v>
      </c>
      <c r="Y8" s="86">
        <v>83.05</v>
      </c>
      <c r="Z8">
        <v>27.09</v>
      </c>
      <c r="AA8">
        <v>36.25</v>
      </c>
      <c r="AB8">
        <v>48.38</v>
      </c>
      <c r="AC8" s="20">
        <v>28.8</v>
      </c>
      <c r="AD8" s="20">
        <v>31.71</v>
      </c>
      <c r="AE8" s="20">
        <v>17.152977941176474</v>
      </c>
      <c r="AF8" s="87">
        <v>6.853379649732233E-2</v>
      </c>
      <c r="AG8">
        <v>34.795723104533124</v>
      </c>
      <c r="AH8" s="56">
        <v>327.8538250525034</v>
      </c>
      <c r="AI8">
        <v>22.78057668925932</v>
      </c>
    </row>
    <row r="9" spans="1:35">
      <c r="A9" s="20">
        <v>6</v>
      </c>
      <c r="B9" s="20">
        <v>18</v>
      </c>
      <c r="C9" s="20" t="s">
        <v>70</v>
      </c>
      <c r="D9" s="20"/>
      <c r="E9" s="20"/>
      <c r="F9" s="61" t="s">
        <v>134</v>
      </c>
      <c r="G9" s="57"/>
      <c r="H9" s="20">
        <v>51.338613138686135</v>
      </c>
      <c r="I9" s="20">
        <v>66.333033707865155</v>
      </c>
      <c r="J9" s="20">
        <v>10.62421121617826</v>
      </c>
      <c r="K9" s="20">
        <v>20.072142857142858</v>
      </c>
      <c r="L9">
        <v>91.440765244597998</v>
      </c>
      <c r="M9">
        <v>13.482172523961662</v>
      </c>
      <c r="N9" s="20">
        <v>23.674055944055947</v>
      </c>
      <c r="O9">
        <v>34.105747126436782</v>
      </c>
      <c r="P9">
        <v>20.740294117647061</v>
      </c>
      <c r="Q9" s="54">
        <v>12.106042343095629</v>
      </c>
      <c r="R9">
        <v>24.708185104224711</v>
      </c>
      <c r="S9">
        <v>6.029054054054054</v>
      </c>
      <c r="V9" s="20">
        <v>16.86</v>
      </c>
      <c r="W9" s="20">
        <v>15.22</v>
      </c>
      <c r="X9" s="20">
        <v>22.1</v>
      </c>
      <c r="Y9" s="86">
        <v>134.25</v>
      </c>
      <c r="Z9">
        <v>22.8</v>
      </c>
      <c r="AA9">
        <v>19.52</v>
      </c>
      <c r="AB9">
        <v>35.979999999999997</v>
      </c>
      <c r="AC9" s="20">
        <v>26.28</v>
      </c>
      <c r="AD9" s="20">
        <v>27.15</v>
      </c>
      <c r="AE9" s="20">
        <v>20.740294117647061</v>
      </c>
      <c r="AF9" s="87">
        <v>1.0467867998263136</v>
      </c>
      <c r="AG9">
        <v>21.172938942163892</v>
      </c>
      <c r="AH9" s="56">
        <v>323.68980920913111</v>
      </c>
      <c r="AI9">
        <v>17.63874381777384</v>
      </c>
    </row>
    <row r="10" spans="1:35">
      <c r="A10" s="20">
        <v>7</v>
      </c>
      <c r="B10" s="20">
        <v>21</v>
      </c>
      <c r="C10" s="20" t="s">
        <v>70</v>
      </c>
      <c r="D10" s="20"/>
      <c r="E10" s="20"/>
      <c r="F10" s="61" t="s">
        <v>134</v>
      </c>
      <c r="G10" s="57"/>
      <c r="H10" s="20">
        <v>58.747408759124085</v>
      </c>
      <c r="I10" s="20">
        <v>64.242958801498119</v>
      </c>
      <c r="J10" s="20">
        <v>8.5480385731673074</v>
      </c>
      <c r="K10" s="20">
        <v>19.98644957983193</v>
      </c>
      <c r="L10">
        <v>76.319166965420592</v>
      </c>
      <c r="M10">
        <v>18.65380191693291</v>
      </c>
      <c r="N10" s="20">
        <v>26.501013986013987</v>
      </c>
      <c r="O10">
        <v>51.086475095785438</v>
      </c>
      <c r="P10">
        <v>17.890183823529412</v>
      </c>
      <c r="Q10" s="54">
        <v>14.356763565681025</v>
      </c>
      <c r="R10">
        <v>26.653022445101652</v>
      </c>
      <c r="S10">
        <v>6.8097972972972975</v>
      </c>
      <c r="V10" s="20">
        <v>6.25</v>
      </c>
      <c r="W10" s="20">
        <v>14.45</v>
      </c>
      <c r="X10" s="20">
        <v>12.87</v>
      </c>
      <c r="Y10" s="86">
        <v>89.42</v>
      </c>
      <c r="Z10">
        <v>22</v>
      </c>
      <c r="AA10">
        <v>27.68</v>
      </c>
      <c r="AB10">
        <v>37.6</v>
      </c>
      <c r="AC10" s="20">
        <v>29.04</v>
      </c>
      <c r="AD10" s="20">
        <v>23.71</v>
      </c>
      <c r="AE10" s="20">
        <v>17.890183823529412</v>
      </c>
      <c r="AF10" s="87">
        <v>0.87056737588652477</v>
      </c>
      <c r="AG10">
        <v>17.07695024343132</v>
      </c>
      <c r="AH10" s="56">
        <v>309.05897483257058</v>
      </c>
      <c r="AI10">
        <v>17.425228425225129</v>
      </c>
    </row>
    <row r="11" spans="1:35">
      <c r="A11" s="20">
        <v>8</v>
      </c>
      <c r="B11" s="20">
        <v>24</v>
      </c>
      <c r="C11" s="20" t="s">
        <v>70</v>
      </c>
      <c r="D11" s="20"/>
      <c r="E11" s="20"/>
      <c r="F11" s="61" t="s">
        <v>134</v>
      </c>
      <c r="G11" s="57"/>
      <c r="H11" s="20">
        <v>57.387445255474454</v>
      </c>
      <c r="I11" s="20">
        <v>72.737378277153567</v>
      </c>
      <c r="J11" s="20">
        <v>7.489935399307182</v>
      </c>
      <c r="K11" s="20">
        <v>14.924663865546217</v>
      </c>
      <c r="L11">
        <v>76.884757031581003</v>
      </c>
      <c r="M11">
        <v>18.191214057507985</v>
      </c>
      <c r="N11" s="20">
        <v>27.554475524475528</v>
      </c>
      <c r="O11">
        <v>49.420421455938694</v>
      </c>
      <c r="P11">
        <v>22.431764705882355</v>
      </c>
      <c r="Q11" s="54">
        <v>12.620399830598659</v>
      </c>
      <c r="R11">
        <v>27.174145986027177</v>
      </c>
      <c r="S11">
        <v>5.6158783783783788</v>
      </c>
      <c r="V11" s="20">
        <v>13.3</v>
      </c>
      <c r="W11" s="20">
        <v>8.4</v>
      </c>
      <c r="X11" s="20">
        <v>19.3</v>
      </c>
      <c r="Y11" s="86">
        <v>115.1</v>
      </c>
      <c r="Z11">
        <v>11.5</v>
      </c>
      <c r="AA11">
        <v>15.5</v>
      </c>
      <c r="AB11">
        <v>28.2</v>
      </c>
      <c r="AC11" s="20">
        <v>27.6</v>
      </c>
      <c r="AD11" s="20">
        <v>28</v>
      </c>
      <c r="AE11" s="20">
        <v>22.431764705882355</v>
      </c>
      <c r="AF11" s="87">
        <v>0.76056592849905913</v>
      </c>
      <c r="AG11">
        <v>20.305163050333164</v>
      </c>
      <c r="AH11" s="56">
        <v>297.27597977849376</v>
      </c>
      <c r="AI11">
        <v>16.671664069115725</v>
      </c>
    </row>
    <row r="12" spans="1:35">
      <c r="A12" s="20">
        <v>9</v>
      </c>
      <c r="B12" s="20">
        <v>27</v>
      </c>
      <c r="C12" s="20" t="s">
        <v>70</v>
      </c>
      <c r="D12" s="20"/>
      <c r="E12" s="20"/>
      <c r="F12" s="61" t="s">
        <v>134</v>
      </c>
      <c r="G12" s="57"/>
      <c r="H12" s="20">
        <v>78.559562043795623</v>
      </c>
      <c r="I12" s="20">
        <v>84.224794007490644</v>
      </c>
      <c r="J12" s="20">
        <v>8.2991854695253267</v>
      </c>
      <c r="K12" s="20">
        <v>16.766680672268908</v>
      </c>
      <c r="L12">
        <v>80.579734706515012</v>
      </c>
      <c r="M12">
        <v>25.446230031948879</v>
      </c>
      <c r="N12" s="20">
        <v>23.692902097902099</v>
      </c>
      <c r="O12">
        <v>41.402030651340993</v>
      </c>
      <c r="P12">
        <v>33.600808823529412</v>
      </c>
      <c r="Q12" s="54">
        <v>14.763254387965267</v>
      </c>
      <c r="R12">
        <v>28.814667181003816</v>
      </c>
      <c r="S12">
        <v>8.0067567567567561</v>
      </c>
      <c r="V12" s="20">
        <v>14.4</v>
      </c>
      <c r="W12" s="20">
        <v>12.9</v>
      </c>
      <c r="X12" s="20">
        <v>24.9</v>
      </c>
      <c r="Y12" s="86">
        <v>129.1</v>
      </c>
      <c r="Z12">
        <v>16.600000000000001</v>
      </c>
      <c r="AA12">
        <v>21.3</v>
      </c>
      <c r="AB12">
        <v>39</v>
      </c>
      <c r="AC12" s="20">
        <v>32.799999999999997</v>
      </c>
      <c r="AD12" s="20">
        <v>30.3</v>
      </c>
      <c r="AE12" s="20">
        <v>33.600808823529412</v>
      </c>
      <c r="AF12" s="87">
        <v>0.83948473006223756</v>
      </c>
      <c r="AG12">
        <v>28.644532615472215</v>
      </c>
      <c r="AH12" s="56">
        <v>298.46149636409655</v>
      </c>
      <c r="AI12">
        <v>19.945566754862583</v>
      </c>
    </row>
    <row r="13" spans="1:35">
      <c r="A13" s="20">
        <v>10</v>
      </c>
      <c r="B13" s="20">
        <v>30</v>
      </c>
      <c r="C13" s="20" t="s">
        <v>70</v>
      </c>
      <c r="D13" s="20"/>
      <c r="E13" s="20"/>
      <c r="F13" s="61" t="s">
        <v>134</v>
      </c>
      <c r="G13" s="57"/>
      <c r="H13" s="20">
        <v>88.699817518248182</v>
      </c>
      <c r="I13" s="20">
        <v>91.410898876404502</v>
      </c>
      <c r="J13" s="20">
        <v>7.489935399307182</v>
      </c>
      <c r="K13" s="20">
        <v>11.225567226890757</v>
      </c>
      <c r="L13">
        <v>75.81204575823746</v>
      </c>
      <c r="M13">
        <v>26.832587859424923</v>
      </c>
      <c r="N13" s="20">
        <v>23.589860139860139</v>
      </c>
      <c r="O13">
        <v>46.760383141762453</v>
      </c>
      <c r="P13">
        <v>24.850735294117644</v>
      </c>
      <c r="Q13" s="54">
        <v>13.795712119073217</v>
      </c>
      <c r="R13">
        <v>30.240524052405242</v>
      </c>
      <c r="S13">
        <v>5.55472972972973</v>
      </c>
      <c r="V13" s="20">
        <v>17.3</v>
      </c>
      <c r="W13" s="20">
        <v>2.2000000000000002</v>
      </c>
      <c r="X13" s="20">
        <v>27.1</v>
      </c>
      <c r="Y13" s="86">
        <v>148.19999999999999</v>
      </c>
      <c r="Z13">
        <v>8</v>
      </c>
      <c r="AA13">
        <v>10.8</v>
      </c>
      <c r="AB13">
        <v>28.4</v>
      </c>
      <c r="AC13" s="20">
        <v>28.9</v>
      </c>
      <c r="AD13" s="20">
        <v>33.4</v>
      </c>
      <c r="AE13" s="20">
        <v>24.850735294117644</v>
      </c>
      <c r="AF13" s="87">
        <v>0.93631495151251987</v>
      </c>
      <c r="AG13">
        <v>25.127301425992197</v>
      </c>
      <c r="AH13" s="56">
        <v>305.16756623637815</v>
      </c>
      <c r="AI13">
        <v>16.345789496228882</v>
      </c>
    </row>
    <row r="14" spans="1:35">
      <c r="A14" s="20">
        <v>11</v>
      </c>
      <c r="B14" s="20">
        <v>33</v>
      </c>
      <c r="C14" s="20" t="s">
        <v>70</v>
      </c>
      <c r="D14" s="20"/>
      <c r="E14" s="20"/>
      <c r="F14" s="61" t="s">
        <v>134</v>
      </c>
      <c r="G14" s="57"/>
      <c r="H14" s="20">
        <v>81.912189781021908</v>
      </c>
      <c r="I14" s="20">
        <v>87.205917602996252</v>
      </c>
      <c r="J14" s="20">
        <v>10.512161782604627</v>
      </c>
      <c r="K14" s="20">
        <v>20.823508403361345</v>
      </c>
      <c r="L14">
        <v>99.21523319101783</v>
      </c>
      <c r="M14">
        <v>27.311916932907344</v>
      </c>
      <c r="N14" s="20">
        <v>20.302167832167832</v>
      </c>
      <c r="O14">
        <v>38.530613026819921</v>
      </c>
      <c r="P14">
        <v>30.27275735294117</v>
      </c>
      <c r="Q14" s="54">
        <v>14.240933589607156</v>
      </c>
      <c r="R14">
        <v>29.308645150229314</v>
      </c>
      <c r="S14">
        <v>4.0945945945945947</v>
      </c>
      <c r="V14" s="20">
        <v>15.3</v>
      </c>
      <c r="W14" s="20">
        <v>17.399999999999999</v>
      </c>
      <c r="X14" s="20">
        <v>28.9</v>
      </c>
      <c r="Y14" s="86">
        <v>150.9</v>
      </c>
      <c r="Z14">
        <v>20.6</v>
      </c>
      <c r="AA14">
        <v>24.5</v>
      </c>
      <c r="AB14">
        <v>45.8</v>
      </c>
      <c r="AC14" s="20">
        <v>22.5</v>
      </c>
      <c r="AD14" s="20">
        <v>26.1</v>
      </c>
      <c r="AE14" s="20">
        <v>30.27275735294117</v>
      </c>
      <c r="AF14" s="87">
        <v>1.0279707627731942</v>
      </c>
      <c r="AG14">
        <v>22.708123867080374</v>
      </c>
      <c r="AH14" s="56">
        <v>276.96349046729739</v>
      </c>
      <c r="AI14">
        <v>15.35729230850338</v>
      </c>
    </row>
    <row r="15" spans="1:35">
      <c r="A15" s="20">
        <v>12</v>
      </c>
      <c r="B15" s="20">
        <v>36</v>
      </c>
      <c r="C15" s="20" t="s">
        <v>70</v>
      </c>
      <c r="D15" s="20"/>
      <c r="E15" s="20"/>
      <c r="F15" s="61" t="s">
        <v>134</v>
      </c>
      <c r="G15" s="57"/>
      <c r="H15" s="20">
        <v>89.244343065693428</v>
      </c>
      <c r="I15" s="20">
        <v>79.244307116104864</v>
      </c>
      <c r="J15" s="20">
        <v>7.489935399307182</v>
      </c>
      <c r="K15" s="20">
        <v>13.578739495798319</v>
      </c>
      <c r="L15">
        <v>87.09536225271323</v>
      </c>
      <c r="M15">
        <v>27.559265175718849</v>
      </c>
      <c r="N15" s="20">
        <v>28.667937062937064</v>
      </c>
      <c r="O15">
        <v>57.825249042145593</v>
      </c>
      <c r="P15">
        <v>29.03827205882353</v>
      </c>
      <c r="Q15" s="54">
        <v>16.181447657519715</v>
      </c>
      <c r="R15">
        <v>30.798794165130797</v>
      </c>
      <c r="S15">
        <v>3.3533783783783786</v>
      </c>
      <c r="V15" s="20">
        <v>13</v>
      </c>
      <c r="W15" s="20">
        <v>4.8</v>
      </c>
      <c r="X15" s="20">
        <v>26.3</v>
      </c>
      <c r="Y15" s="86">
        <v>116.5</v>
      </c>
      <c r="Z15">
        <v>16.399999999999999</v>
      </c>
      <c r="AA15">
        <v>15.4</v>
      </c>
      <c r="AB15">
        <v>34.5</v>
      </c>
      <c r="AC15" s="20">
        <v>26.6</v>
      </c>
      <c r="AD15" s="20">
        <v>29</v>
      </c>
      <c r="AE15" s="20">
        <v>29.03827205882353</v>
      </c>
      <c r="AF15" s="87">
        <v>1.176364162686351</v>
      </c>
      <c r="AG15">
        <v>23.899874230155209</v>
      </c>
      <c r="AH15" s="56">
        <v>274.29727529569504</v>
      </c>
      <c r="AI15">
        <v>14.576379530200239</v>
      </c>
    </row>
    <row r="16" spans="1:35">
      <c r="A16" s="20">
        <v>13</v>
      </c>
      <c r="B16" s="20">
        <v>39</v>
      </c>
      <c r="C16" s="20" t="s">
        <v>70</v>
      </c>
      <c r="D16" s="20"/>
      <c r="E16" s="20"/>
      <c r="F16" s="61" t="s">
        <v>134</v>
      </c>
      <c r="G16" s="57"/>
      <c r="H16" s="20">
        <v>102.32361313868613</v>
      </c>
      <c r="I16" s="20">
        <v>73.554157303370786</v>
      </c>
      <c r="J16" s="20">
        <v>7.489935399307182</v>
      </c>
      <c r="K16" s="20">
        <v>17.840483193277311</v>
      </c>
      <c r="L16">
        <v>83.528989994459465</v>
      </c>
      <c r="M16">
        <v>24.162907348242815</v>
      </c>
      <c r="N16" s="20">
        <v>23.431993006993007</v>
      </c>
      <c r="O16">
        <v>51.596551724137932</v>
      </c>
      <c r="P16">
        <v>22.118382352941175</v>
      </c>
      <c r="Q16" s="54">
        <v>16.13475369841494</v>
      </c>
      <c r="R16">
        <v>32.072850142157073</v>
      </c>
      <c r="S16">
        <v>7.1314189189189197</v>
      </c>
      <c r="V16" s="20">
        <v>8.1</v>
      </c>
      <c r="W16" s="20">
        <v>13.9</v>
      </c>
      <c r="X16" s="20">
        <v>21.7</v>
      </c>
      <c r="Y16" s="86">
        <v>107.1</v>
      </c>
      <c r="Z16">
        <v>18.5</v>
      </c>
      <c r="AA16">
        <v>23.4</v>
      </c>
      <c r="AB16">
        <v>42.1</v>
      </c>
      <c r="AC16" s="20">
        <v>24.9</v>
      </c>
      <c r="AD16" s="20">
        <v>27.1</v>
      </c>
      <c r="AE16" s="20">
        <v>22.118382352941175</v>
      </c>
      <c r="AF16" s="87">
        <v>1.1165508756694167</v>
      </c>
      <c r="AG16">
        <v>21.934044707756289</v>
      </c>
      <c r="AH16" s="56">
        <v>247.61904761904759</v>
      </c>
      <c r="AI16">
        <v>15.798821052354107</v>
      </c>
    </row>
    <row r="17" spans="1:35">
      <c r="A17" s="20">
        <v>14</v>
      </c>
      <c r="B17" s="20">
        <v>42</v>
      </c>
      <c r="C17" s="20" t="s">
        <v>69</v>
      </c>
      <c r="D17" s="20"/>
      <c r="E17" s="20"/>
      <c r="F17" s="61" t="s">
        <v>134</v>
      </c>
      <c r="G17" s="57"/>
      <c r="H17" s="20">
        <v>88.319854014598533</v>
      </c>
      <c r="I17" s="20">
        <v>80.408127340823967</v>
      </c>
      <c r="J17" s="20">
        <v>7.7217488999157391</v>
      </c>
      <c r="K17" s="20">
        <v>23.287289915966387</v>
      </c>
      <c r="L17">
        <v>84.767330443568113</v>
      </c>
      <c r="M17">
        <v>24.412779552715659</v>
      </c>
      <c r="N17" s="20">
        <v>32.037832167832171</v>
      </c>
      <c r="O17">
        <v>50.995900383141802</v>
      </c>
      <c r="P17">
        <v>30.22371323529412</v>
      </c>
      <c r="Q17" s="54">
        <v>13.298729127981264</v>
      </c>
      <c r="R17">
        <v>31.343134313431342</v>
      </c>
      <c r="S17">
        <v>7.7587837837837839</v>
      </c>
      <c r="V17" s="20">
        <v>14.6</v>
      </c>
      <c r="W17" s="20">
        <v>14.1</v>
      </c>
      <c r="X17" s="20">
        <v>25</v>
      </c>
      <c r="Y17" s="86">
        <v>134.4</v>
      </c>
      <c r="Z17">
        <v>23</v>
      </c>
      <c r="AA17">
        <v>30.3</v>
      </c>
      <c r="AB17">
        <v>52.6</v>
      </c>
      <c r="AC17" s="20">
        <v>25.5</v>
      </c>
      <c r="AD17" s="20">
        <v>27.5</v>
      </c>
      <c r="AE17" s="20">
        <v>30.22371323529412</v>
      </c>
      <c r="AF17" s="87">
        <v>1.2449341438703141</v>
      </c>
      <c r="AG17">
        <v>20.747699925402987</v>
      </c>
      <c r="AH17" s="56">
        <v>273.27422852491088</v>
      </c>
      <c r="AI17">
        <v>17.745501514048193</v>
      </c>
    </row>
    <row r="18" spans="1:35">
      <c r="A18" s="20">
        <v>15</v>
      </c>
      <c r="B18" s="20">
        <v>45</v>
      </c>
      <c r="C18" s="20" t="s">
        <v>69</v>
      </c>
      <c r="D18" s="20"/>
      <c r="E18" s="20"/>
      <c r="F18" s="57"/>
      <c r="G18" s="57"/>
      <c r="H18" s="20">
        <v>85.540328467153302</v>
      </c>
      <c r="I18" s="20">
        <v>63.866329588014985</v>
      </c>
      <c r="J18" s="20">
        <v>9.0386667914989243</v>
      </c>
      <c r="K18" s="20">
        <v>26.194978991596642</v>
      </c>
      <c r="L18">
        <v>107.65886647329141</v>
      </c>
      <c r="M18">
        <v>23.465431309904151</v>
      </c>
      <c r="N18" s="20">
        <v>43.468811188811188</v>
      </c>
      <c r="O18">
        <v>74.605593869731791</v>
      </c>
      <c r="P18">
        <v>22.409080882352942</v>
      </c>
      <c r="Q18" s="54">
        <v>15.739483905062853</v>
      </c>
      <c r="R18">
        <v>35.464260711785464</v>
      </c>
      <c r="S18">
        <v>6.8378378378378368</v>
      </c>
      <c r="V18" s="20">
        <v>6.9</v>
      </c>
      <c r="W18" s="20">
        <v>15.3</v>
      </c>
      <c r="X18" s="20">
        <v>21.6</v>
      </c>
      <c r="Y18" s="86">
        <v>99.3</v>
      </c>
      <c r="Z18">
        <v>29.4</v>
      </c>
      <c r="AA18">
        <v>28.6</v>
      </c>
      <c r="AB18">
        <v>45.9</v>
      </c>
      <c r="AC18" s="20">
        <v>27.4</v>
      </c>
      <c r="AD18" s="20">
        <v>29.4</v>
      </c>
      <c r="AE18" s="20">
        <v>22.409080882352942</v>
      </c>
      <c r="AF18" s="87">
        <v>1.2262628455637572</v>
      </c>
      <c r="AG18">
        <v>19.926412027777477</v>
      </c>
      <c r="AH18" s="56">
        <v>307.83549161655753</v>
      </c>
      <c r="AI18">
        <v>16.887815454165036</v>
      </c>
    </row>
    <row r="19" spans="1:35">
      <c r="A19" s="20">
        <v>16</v>
      </c>
      <c r="B19" s="20">
        <v>48</v>
      </c>
      <c r="C19" s="20" t="s">
        <v>69</v>
      </c>
      <c r="D19" s="20"/>
      <c r="E19" s="20"/>
      <c r="F19" s="57"/>
      <c r="G19" s="57"/>
      <c r="H19" s="20">
        <v>80.804744525547449</v>
      </c>
      <c r="I19" s="20">
        <v>106.83700374531836</v>
      </c>
      <c r="J19" s="20">
        <v>12.079168617170676</v>
      </c>
      <c r="K19" s="20">
        <v>30.671974789915968</v>
      </c>
      <c r="L19">
        <v>112.67079490271486</v>
      </c>
      <c r="M19">
        <v>18.278849840255589</v>
      </c>
      <c r="N19" s="20">
        <v>49.024300699300696</v>
      </c>
      <c r="O19">
        <v>96.661034482758623</v>
      </c>
      <c r="P19">
        <v>53.470772058823528</v>
      </c>
      <c r="Q19" s="54">
        <v>18.707265073280556</v>
      </c>
      <c r="R19">
        <v>35.136013601360141</v>
      </c>
      <c r="S19">
        <v>5.8</v>
      </c>
      <c r="V19" s="20">
        <v>20.399999999999999</v>
      </c>
      <c r="W19" s="20">
        <v>23.1</v>
      </c>
      <c r="X19" s="20">
        <v>48.1</v>
      </c>
      <c r="Y19" s="86">
        <v>173.1</v>
      </c>
      <c r="Z19">
        <v>41.9</v>
      </c>
      <c r="AA19">
        <v>50.1</v>
      </c>
      <c r="AB19">
        <v>68.3</v>
      </c>
      <c r="AC19" s="20">
        <v>28.3</v>
      </c>
      <c r="AD19" s="20">
        <v>29.7</v>
      </c>
      <c r="AE19" s="20">
        <v>53.470772058823528</v>
      </c>
      <c r="AF19" s="87">
        <v>1.1073599652627006</v>
      </c>
      <c r="AG19">
        <v>23.569413062045257</v>
      </c>
      <c r="AH19" s="56">
        <v>276.29719320568336</v>
      </c>
      <c r="AI19">
        <v>21.375922185501381</v>
      </c>
    </row>
    <row r="20" spans="1:35">
      <c r="A20" s="20">
        <v>17</v>
      </c>
      <c r="B20" s="20">
        <v>51</v>
      </c>
      <c r="C20" s="20" t="s">
        <v>69</v>
      </c>
      <c r="D20" s="20"/>
      <c r="E20" s="20"/>
      <c r="F20" s="57"/>
      <c r="G20" s="57"/>
      <c r="H20" s="20">
        <v>143.55733576642336</v>
      </c>
      <c r="I20" s="20">
        <v>86.997078651685385</v>
      </c>
      <c r="J20" s="20">
        <v>10.34824454639079</v>
      </c>
      <c r="K20" s="20">
        <v>26.23205882352941</v>
      </c>
      <c r="L20">
        <v>114.66760095166705</v>
      </c>
      <c r="M20">
        <v>28.949073482428119</v>
      </c>
      <c r="N20" s="20">
        <v>50.462727272727271</v>
      </c>
      <c r="O20">
        <v>112.20961685823754</v>
      </c>
      <c r="P20">
        <v>39.50011029411764</v>
      </c>
      <c r="Q20" s="54">
        <v>16.720057046263214</v>
      </c>
      <c r="R20">
        <v>42.226365493692228</v>
      </c>
      <c r="S20">
        <v>7.4895270270270276</v>
      </c>
      <c r="V20" s="20">
        <v>12.5</v>
      </c>
      <c r="W20" s="20">
        <v>19.5</v>
      </c>
      <c r="X20" s="20">
        <v>32.200000000000003</v>
      </c>
      <c r="Y20" s="86">
        <v>106</v>
      </c>
      <c r="Z20">
        <v>33.5</v>
      </c>
      <c r="AA20">
        <v>50.9</v>
      </c>
      <c r="AB20">
        <v>66.5</v>
      </c>
      <c r="AC20" s="20">
        <v>36.1</v>
      </c>
      <c r="AD20" s="20">
        <v>34.5</v>
      </c>
      <c r="AE20" s="20">
        <v>39.50011029411764</v>
      </c>
      <c r="AF20" s="87">
        <v>0.8749819076566796</v>
      </c>
      <c r="AG20">
        <v>27.361968496275558</v>
      </c>
      <c r="AH20" s="56">
        <v>271.7158864695138</v>
      </c>
      <c r="AI20">
        <v>23.769403376047396</v>
      </c>
    </row>
    <row r="21" spans="1:35">
      <c r="A21" s="20">
        <v>18</v>
      </c>
      <c r="B21" s="20">
        <v>54</v>
      </c>
      <c r="C21" s="20" t="s">
        <v>69</v>
      </c>
      <c r="D21" s="20"/>
      <c r="E21" s="20"/>
      <c r="F21" s="57"/>
      <c r="G21" s="57"/>
      <c r="H21" s="20">
        <v>117.03127737226278</v>
      </c>
      <c r="I21" s="20">
        <v>106.91790262172285</v>
      </c>
      <c r="J21" s="20">
        <v>7.489935399307182</v>
      </c>
      <c r="K21" s="20">
        <v>22.632584033613448</v>
      </c>
      <c r="L21">
        <v>103.25812339080274</v>
      </c>
      <c r="M21">
        <v>24.401405750798723</v>
      </c>
      <c r="N21" s="20">
        <v>58.498601398601409</v>
      </c>
      <c r="O21">
        <v>107.06632183908046</v>
      </c>
      <c r="P21">
        <v>52.077830882352941</v>
      </c>
      <c r="Q21" s="54">
        <v>17.518559943822464</v>
      </c>
      <c r="R21">
        <v>40.697998371265697</v>
      </c>
      <c r="S21">
        <v>7.4466216216216221</v>
      </c>
      <c r="V21" s="20">
        <v>17.2</v>
      </c>
      <c r="W21" s="20">
        <v>14.9</v>
      </c>
      <c r="X21" s="20">
        <v>34.4</v>
      </c>
      <c r="Y21" s="86">
        <v>139.80000000000001</v>
      </c>
      <c r="Z21">
        <v>31.3</v>
      </c>
      <c r="AA21">
        <v>40</v>
      </c>
      <c r="AB21">
        <v>51.5</v>
      </c>
      <c r="AC21" s="20">
        <v>29.3</v>
      </c>
      <c r="AD21" s="20">
        <v>38.299999999999997</v>
      </c>
      <c r="AE21" s="20">
        <v>52.077830882352941</v>
      </c>
      <c r="AF21" s="87">
        <v>0.61072514112027787</v>
      </c>
      <c r="AG21">
        <v>21.882511504877638</v>
      </c>
      <c r="AH21" s="56">
        <v>295.12248513828746</v>
      </c>
      <c r="AI21">
        <v>19.842433548276556</v>
      </c>
    </row>
    <row r="22" spans="1:35">
      <c r="A22" s="20">
        <v>19</v>
      </c>
      <c r="B22" s="20">
        <v>57</v>
      </c>
      <c r="C22" s="20" t="s">
        <v>69</v>
      </c>
      <c r="D22" s="20"/>
      <c r="E22" s="20"/>
      <c r="F22" s="57"/>
      <c r="G22" s="57"/>
      <c r="H22" s="20">
        <v>100.14029197080293</v>
      </c>
      <c r="I22" s="20">
        <v>110.19737827715355</v>
      </c>
      <c r="J22" s="20">
        <v>9.168092875198953</v>
      </c>
      <c r="K22" s="20">
        <v>21.872310924369746</v>
      </c>
      <c r="L22">
        <v>106.15295114558549</v>
      </c>
      <c r="M22">
        <v>22.046549520766774</v>
      </c>
      <c r="N22" s="20">
        <v>37.6327972027972</v>
      </c>
      <c r="O22">
        <v>88.215823754789284</v>
      </c>
      <c r="P22">
        <v>60.768970588235291</v>
      </c>
      <c r="Q22" s="54">
        <v>17.084559502220678</v>
      </c>
      <c r="R22">
        <v>38.618504707613624</v>
      </c>
      <c r="S22">
        <v>4.1733108108108103</v>
      </c>
      <c r="V22" s="20">
        <v>19.5</v>
      </c>
      <c r="W22" s="20">
        <v>18</v>
      </c>
      <c r="X22" s="20">
        <v>40.9</v>
      </c>
      <c r="Y22" s="86">
        <v>144</v>
      </c>
      <c r="Z22">
        <v>38.299999999999997</v>
      </c>
      <c r="AA22">
        <v>46.3</v>
      </c>
      <c r="AB22">
        <v>61.8</v>
      </c>
      <c r="AC22" s="20">
        <v>34.700000000000003</v>
      </c>
      <c r="AD22" s="20">
        <v>32.1</v>
      </c>
      <c r="AE22" s="20">
        <v>60.768970588235291</v>
      </c>
      <c r="AF22" s="87">
        <v>0.44072948328267475</v>
      </c>
      <c r="AG22">
        <v>20.941580087282109</v>
      </c>
      <c r="AH22" s="56">
        <v>282.23948392745973</v>
      </c>
      <c r="AI22">
        <v>18.169896306645008</v>
      </c>
    </row>
    <row r="23" spans="1:35">
      <c r="A23" s="20">
        <v>20</v>
      </c>
      <c r="B23" s="20">
        <v>60</v>
      </c>
      <c r="C23" s="20" t="s">
        <v>69</v>
      </c>
      <c r="D23" s="20"/>
      <c r="E23" s="20"/>
      <c r="F23" s="57"/>
      <c r="G23" s="57"/>
      <c r="H23" s="20">
        <v>104.95919708029196</v>
      </c>
      <c r="I23" s="20">
        <v>111.03805243445694</v>
      </c>
      <c r="J23" s="20">
        <v>7.489935399307182</v>
      </c>
      <c r="K23" s="20">
        <v>16.265882352941176</v>
      </c>
      <c r="L23">
        <v>87.250073330508769</v>
      </c>
      <c r="M23">
        <v>28.458370607028758</v>
      </c>
      <c r="N23" s="20">
        <v>53.051538461538456</v>
      </c>
      <c r="O23">
        <v>99.714329501915699</v>
      </c>
      <c r="P23">
        <v>47.862316176470586</v>
      </c>
      <c r="Q23" s="54">
        <v>19.634990787897216</v>
      </c>
      <c r="R23">
        <v>42.483176889117487</v>
      </c>
      <c r="S23">
        <v>5.1263513513513512</v>
      </c>
      <c r="V23" s="20">
        <v>18.8</v>
      </c>
      <c r="W23" s="20">
        <v>9.1999999999999993</v>
      </c>
      <c r="X23" s="20">
        <v>42.3</v>
      </c>
      <c r="Y23" s="86">
        <v>141.69999999999999</v>
      </c>
      <c r="Z23">
        <v>17.2</v>
      </c>
      <c r="AA23">
        <v>32.4</v>
      </c>
      <c r="AB23">
        <v>43</v>
      </c>
      <c r="AC23" s="20">
        <v>35.6</v>
      </c>
      <c r="AD23" s="20">
        <v>33.299999999999997</v>
      </c>
      <c r="AE23" s="20">
        <v>47.862316176470586</v>
      </c>
      <c r="AF23" s="87">
        <v>0.36908380373425964</v>
      </c>
      <c r="AG23">
        <v>20.474177540893219</v>
      </c>
      <c r="AH23" s="56">
        <v>236.99386377162557</v>
      </c>
      <c r="AI23">
        <v>13.440266762441061</v>
      </c>
    </row>
    <row r="24" spans="1:35">
      <c r="A24" s="20">
        <v>21</v>
      </c>
      <c r="B24" s="20">
        <v>63</v>
      </c>
      <c r="C24" s="20" t="s">
        <v>71</v>
      </c>
      <c r="D24" s="20"/>
      <c r="E24" s="20"/>
      <c r="F24" s="57"/>
      <c r="G24" s="57"/>
      <c r="H24" s="20">
        <v>110.6705109489051</v>
      </c>
      <c r="I24" s="20">
        <v>125.66029962546814</v>
      </c>
      <c r="J24" s="20">
        <v>12.932234809474769</v>
      </c>
      <c r="K24" s="20">
        <v>27.182794117647056</v>
      </c>
      <c r="L24">
        <v>113.58250497017892</v>
      </c>
      <c r="M24">
        <v>28.159616613418532</v>
      </c>
      <c r="N24" s="20">
        <v>35.480279720279725</v>
      </c>
      <c r="O24">
        <v>83.268275862068961</v>
      </c>
      <c r="P24">
        <v>52.88624999999999</v>
      </c>
      <c r="Q24" s="54">
        <v>17.798361729775905</v>
      </c>
      <c r="R24">
        <v>42.501035817867503</v>
      </c>
      <c r="S24">
        <v>4.7493243243243244</v>
      </c>
      <c r="V24" s="20">
        <v>22.4</v>
      </c>
      <c r="W24" s="20">
        <v>22.3</v>
      </c>
      <c r="X24" s="20">
        <v>46.4</v>
      </c>
      <c r="Y24" s="86">
        <v>154.19999999999999</v>
      </c>
      <c r="Z24">
        <v>34.1</v>
      </c>
      <c r="AA24">
        <v>49.5</v>
      </c>
      <c r="AB24">
        <v>65.2</v>
      </c>
      <c r="AC24" s="20">
        <v>35</v>
      </c>
      <c r="AD24" s="20">
        <v>33.700000000000003</v>
      </c>
      <c r="AE24" s="20">
        <v>52.88624999999999</v>
      </c>
      <c r="AF24" s="87">
        <v>0.32501085540599212</v>
      </c>
      <c r="AG24">
        <v>20.678148120119211</v>
      </c>
      <c r="AH24" s="56">
        <v>246.84979580109589</v>
      </c>
      <c r="AI24">
        <v>15.578386179491321</v>
      </c>
    </row>
    <row r="25" spans="1:35">
      <c r="A25" s="20">
        <v>22</v>
      </c>
      <c r="B25" s="20">
        <v>66</v>
      </c>
      <c r="C25" s="20" t="s">
        <v>71</v>
      </c>
      <c r="D25" s="20"/>
      <c r="E25" s="20"/>
      <c r="F25" s="57"/>
      <c r="G25" s="57"/>
      <c r="H25" s="20">
        <v>113.52813868613138</v>
      </c>
      <c r="I25" s="20">
        <v>130.25726591760301</v>
      </c>
      <c r="J25" s="20">
        <v>7.489935399307182</v>
      </c>
      <c r="K25" s="20">
        <v>23.223319327731094</v>
      </c>
      <c r="L25">
        <v>99.341850536127509</v>
      </c>
      <c r="M25">
        <v>25.485175718849842</v>
      </c>
      <c r="N25" s="20">
        <v>54.110349650349647</v>
      </c>
      <c r="O25">
        <v>98.706628352490426</v>
      </c>
      <c r="P25">
        <v>49.520919117647061</v>
      </c>
      <c r="Q25" s="54">
        <v>21.894037290012921</v>
      </c>
      <c r="R25">
        <v>36.862257654336865</v>
      </c>
      <c r="S25">
        <v>4.6074324324324323</v>
      </c>
      <c r="V25" s="20">
        <v>20.2</v>
      </c>
      <c r="W25" s="20">
        <v>14.2</v>
      </c>
      <c r="X25" s="20">
        <v>47.8</v>
      </c>
      <c r="Y25" s="86">
        <v>144.1</v>
      </c>
      <c r="Z25">
        <v>24.7</v>
      </c>
      <c r="AA25">
        <v>29.9</v>
      </c>
      <c r="AB25">
        <v>48.2</v>
      </c>
      <c r="AC25" s="20">
        <v>32.9</v>
      </c>
      <c r="AD25" s="20">
        <v>33.200000000000003</v>
      </c>
      <c r="AE25" s="20">
        <v>49.520919117647061</v>
      </c>
      <c r="AF25" s="87">
        <v>0.39083080040526846</v>
      </c>
      <c r="AG25">
        <v>19.782983952632701</v>
      </c>
      <c r="AH25" s="56">
        <v>238.36066246639436</v>
      </c>
      <c r="AI25">
        <v>21.375922185501381</v>
      </c>
    </row>
    <row r="26" spans="1:35">
      <c r="A26" s="20">
        <v>23</v>
      </c>
      <c r="B26" s="20">
        <v>69</v>
      </c>
      <c r="C26" s="20" t="s">
        <v>71</v>
      </c>
      <c r="D26" s="59" t="s">
        <v>130</v>
      </c>
      <c r="E26" s="59" t="s">
        <v>131</v>
      </c>
      <c r="F26" s="57"/>
      <c r="G26" s="57"/>
      <c r="H26" s="20">
        <v>75.112664233576638</v>
      </c>
      <c r="I26" s="20">
        <v>80.882958801498134</v>
      </c>
      <c r="J26" s="20">
        <v>10.869656399213557</v>
      </c>
      <c r="K26" s="20">
        <v>28.230903361344538</v>
      </c>
      <c r="L26">
        <v>95.12557442231855</v>
      </c>
      <c r="M26">
        <v>30.467220447284344</v>
      </c>
      <c r="N26" s="20">
        <v>40.970034965034969</v>
      </c>
      <c r="O26">
        <v>61.451532567049803</v>
      </c>
      <c r="P26">
        <v>36.068161764705884</v>
      </c>
      <c r="Q26" s="54">
        <v>16.644405593139968</v>
      </c>
      <c r="R26">
        <v>29.051833754804058</v>
      </c>
      <c r="S26">
        <v>7.727702702702703</v>
      </c>
      <c r="V26" s="20">
        <v>14.9</v>
      </c>
      <c r="W26" s="20">
        <v>28.1</v>
      </c>
      <c r="X26" s="20">
        <v>33</v>
      </c>
      <c r="Y26" s="86">
        <v>176</v>
      </c>
      <c r="Z26">
        <v>43.2</v>
      </c>
      <c r="AA26">
        <v>17.100000000000001</v>
      </c>
      <c r="AB26">
        <v>55.4</v>
      </c>
      <c r="AC26" s="20">
        <v>33.700000000000003</v>
      </c>
      <c r="AD26" s="20">
        <v>28.5</v>
      </c>
      <c r="AE26" s="20">
        <v>36.068161764705884</v>
      </c>
      <c r="AF26" s="87">
        <v>1.6527355623100304</v>
      </c>
      <c r="AG26">
        <v>19.606401649062491</v>
      </c>
      <c r="AH26" s="56">
        <v>339.7014659907922</v>
      </c>
      <c r="AI26">
        <v>16.018267428029166</v>
      </c>
    </row>
    <row r="27" spans="1:35">
      <c r="A27" s="20">
        <v>24</v>
      </c>
      <c r="B27" s="20">
        <v>72</v>
      </c>
      <c r="C27" s="20" t="s">
        <v>69</v>
      </c>
      <c r="D27" s="59" t="s">
        <v>130</v>
      </c>
      <c r="E27" s="59" t="s">
        <v>131</v>
      </c>
      <c r="F27" s="57"/>
      <c r="G27" s="57"/>
      <c r="H27" s="20">
        <v>58.448357664233583</v>
      </c>
      <c r="I27" s="20">
        <v>99.205056179775283</v>
      </c>
      <c r="J27" s="20">
        <v>25.30133882595263</v>
      </c>
      <c r="K27" s="20">
        <v>51.450987394957977</v>
      </c>
      <c r="L27">
        <v>110.6067203337353</v>
      </c>
      <c r="M27">
        <v>25.833162939297125</v>
      </c>
      <c r="N27" s="20">
        <v>45.236573426573429</v>
      </c>
      <c r="O27">
        <v>96.326666666666654</v>
      </c>
      <c r="P27">
        <v>116.56988970588236</v>
      </c>
      <c r="Q27" s="54">
        <v>18.755768875761493</v>
      </c>
      <c r="R27">
        <v>45.489548954895497</v>
      </c>
      <c r="S27">
        <v>15.045270270270269</v>
      </c>
      <c r="V27" s="20">
        <v>26.1</v>
      </c>
      <c r="W27" s="20">
        <v>31.9</v>
      </c>
      <c r="X27" s="20">
        <v>47.7</v>
      </c>
      <c r="Y27" s="86">
        <v>276.7</v>
      </c>
      <c r="Z27">
        <v>63.8</v>
      </c>
      <c r="AA27">
        <v>81.099999999999994</v>
      </c>
      <c r="AB27">
        <v>98.2</v>
      </c>
      <c r="AC27" s="20">
        <v>33.1</v>
      </c>
      <c r="AD27" s="20">
        <v>26.2</v>
      </c>
      <c r="AE27" s="20">
        <v>116.56988970588236</v>
      </c>
      <c r="AF27" s="87">
        <v>1.7895136778115501</v>
      </c>
      <c r="AG27">
        <v>19.14512542749134</v>
      </c>
      <c r="AH27" s="56">
        <v>195.52814661276088</v>
      </c>
      <c r="AI27">
        <v>19.842433548276556</v>
      </c>
    </row>
    <row r="28" spans="1:35">
      <c r="A28" s="20">
        <v>25</v>
      </c>
      <c r="B28" s="20">
        <v>75</v>
      </c>
      <c r="C28" s="20" t="s">
        <v>69</v>
      </c>
      <c r="D28" s="59" t="s">
        <v>130</v>
      </c>
      <c r="E28" s="59" t="s">
        <v>131</v>
      </c>
      <c r="F28" s="57"/>
      <c r="G28" s="57"/>
      <c r="H28" s="20">
        <v>103.35934306569344</v>
      </c>
      <c r="I28" s="20">
        <v>97.756254681647945</v>
      </c>
      <c r="J28" s="20">
        <v>36.702069094654057</v>
      </c>
      <c r="K28" s="20">
        <v>65.246134453781508</v>
      </c>
      <c r="L28">
        <v>123.83525079033994</v>
      </c>
      <c r="M28">
        <v>29.832843450479235</v>
      </c>
      <c r="N28" s="20">
        <v>73.553181818181812</v>
      </c>
      <c r="O28">
        <v>134.10053639846745</v>
      </c>
      <c r="P28">
        <v>103.5943382352941</v>
      </c>
      <c r="Q28" s="54">
        <v>23.069349578487476</v>
      </c>
      <c r="R28">
        <v>58.25403968968326</v>
      </c>
      <c r="S28">
        <v>16.918243243243243</v>
      </c>
      <c r="V28" s="20">
        <v>22.6</v>
      </c>
      <c r="W28" s="20">
        <v>38.5</v>
      </c>
      <c r="X28" s="20">
        <v>46.8</v>
      </c>
      <c r="Y28" s="86">
        <v>262.8</v>
      </c>
      <c r="Z28">
        <v>59.8</v>
      </c>
      <c r="AA28">
        <v>119.5</v>
      </c>
      <c r="AB28">
        <v>133.80000000000001</v>
      </c>
      <c r="AC28" s="20">
        <v>41.6</v>
      </c>
      <c r="AD28" s="20">
        <v>32</v>
      </c>
      <c r="AE28" s="20">
        <v>103.5943382352941</v>
      </c>
      <c r="AF28" s="87">
        <v>1.5929222752930958</v>
      </c>
      <c r="AG28">
        <v>32.310237088770442</v>
      </c>
      <c r="AH28" s="56">
        <v>247.66419712548142</v>
      </c>
      <c r="AI28">
        <v>32.962756720957131</v>
      </c>
    </row>
    <row r="29" spans="1:35">
      <c r="A29" s="20">
        <v>26</v>
      </c>
      <c r="B29" s="20">
        <v>78</v>
      </c>
      <c r="C29" s="20" t="s">
        <v>69</v>
      </c>
      <c r="D29" s="59" t="s">
        <v>130</v>
      </c>
      <c r="E29" s="59" t="s">
        <v>131</v>
      </c>
      <c r="F29" s="57"/>
      <c r="G29" s="57"/>
      <c r="H29" s="20">
        <v>84.634927007299268</v>
      </c>
      <c r="I29" s="20">
        <v>132.58011235955055</v>
      </c>
      <c r="J29" s="20">
        <v>26.732328433667263</v>
      </c>
      <c r="K29" s="20">
        <v>47.915882352941175</v>
      </c>
      <c r="L29">
        <v>126.45676759117426</v>
      </c>
      <c r="M29">
        <v>25.622651757188496</v>
      </c>
      <c r="N29" s="20">
        <v>80.189370629370629</v>
      </c>
      <c r="O29">
        <v>136.3823754789272</v>
      </c>
      <c r="P29">
        <v>130.79757352941178</v>
      </c>
      <c r="Q29" s="54">
        <v>23.288340627002135</v>
      </c>
      <c r="R29">
        <v>52.099138485277102</v>
      </c>
      <c r="S29">
        <v>11.60472972972973</v>
      </c>
      <c r="V29" s="20">
        <v>36</v>
      </c>
      <c r="W29" s="20">
        <v>30.6</v>
      </c>
      <c r="X29" s="20">
        <v>65.599999999999994</v>
      </c>
      <c r="Y29" s="86">
        <v>245.9</v>
      </c>
      <c r="Z29">
        <v>45.6</v>
      </c>
      <c r="AA29">
        <v>147.1</v>
      </c>
      <c r="AB29">
        <v>116.5</v>
      </c>
      <c r="AC29" s="20">
        <v>40.6</v>
      </c>
      <c r="AD29" s="20">
        <v>42.9</v>
      </c>
      <c r="AE29" s="20">
        <v>130.79757352941178</v>
      </c>
      <c r="AF29" s="87">
        <v>1.6984368215371255</v>
      </c>
      <c r="AG29">
        <v>32.932239243795294</v>
      </c>
      <c r="AH29" s="56">
        <v>286.08676914236457</v>
      </c>
      <c r="AI29">
        <v>37.818913905189945</v>
      </c>
    </row>
    <row r="30" spans="1:35">
      <c r="A30" s="20">
        <v>27</v>
      </c>
      <c r="B30" s="20">
        <v>81</v>
      </c>
      <c r="C30" s="20" t="s">
        <v>69</v>
      </c>
      <c r="D30" s="59" t="s">
        <v>130</v>
      </c>
      <c r="E30" s="59" t="s">
        <v>131</v>
      </c>
      <c r="F30" s="57"/>
      <c r="G30" s="57"/>
      <c r="H30" s="20">
        <v>136.38478102189782</v>
      </c>
      <c r="I30" s="20">
        <v>103.43277153558053</v>
      </c>
      <c r="J30" s="20">
        <v>20.393745903941582</v>
      </c>
      <c r="K30" s="20">
        <v>34.170714285714283</v>
      </c>
      <c r="L30">
        <v>98.805462308118521</v>
      </c>
      <c r="M30">
        <v>30.61121405750799</v>
      </c>
      <c r="N30" s="20">
        <v>71.894895104895113</v>
      </c>
      <c r="O30">
        <v>80.316628352490426</v>
      </c>
      <c r="P30">
        <v>58.739044117647055</v>
      </c>
      <c r="Q30" s="54">
        <v>19.506491908190267</v>
      </c>
      <c r="R30">
        <v>48.08516565942309</v>
      </c>
      <c r="S30">
        <v>10.43108108108108</v>
      </c>
      <c r="V30" s="20">
        <v>19.399999999999999</v>
      </c>
      <c r="W30" s="20">
        <v>25.4</v>
      </c>
      <c r="X30" s="20">
        <v>38.5</v>
      </c>
      <c r="Y30" s="86">
        <v>135.6</v>
      </c>
      <c r="Z30">
        <v>37.700000000000003</v>
      </c>
      <c r="AA30">
        <v>88</v>
      </c>
      <c r="AB30">
        <v>109.2</v>
      </c>
      <c r="AC30" s="20">
        <v>38.9</v>
      </c>
      <c r="AD30" s="20">
        <v>32.200000000000003</v>
      </c>
      <c r="AE30" s="20">
        <v>58.739044117647055</v>
      </c>
      <c r="AF30" s="87">
        <v>0.87867274569402232</v>
      </c>
      <c r="AG30">
        <v>28.535700256945269</v>
      </c>
      <c r="AH30" s="56">
        <v>245.58184716207987</v>
      </c>
      <c r="AI30">
        <v>28.654556477786819</v>
      </c>
    </row>
    <row r="31" spans="1:35">
      <c r="A31" s="20">
        <v>28</v>
      </c>
      <c r="B31" s="20">
        <v>84</v>
      </c>
      <c r="C31" s="20" t="s">
        <v>69</v>
      </c>
      <c r="D31" s="59" t="s">
        <v>130</v>
      </c>
      <c r="E31" s="59" t="s">
        <v>131</v>
      </c>
      <c r="F31" s="57"/>
      <c r="G31" s="57"/>
      <c r="H31" s="20">
        <v>95.247481751824807</v>
      </c>
      <c r="I31" s="20">
        <v>106.88138576779025</v>
      </c>
      <c r="J31" s="20">
        <v>9.6665480760228455</v>
      </c>
      <c r="K31" s="20">
        <v>22.353235294117646</v>
      </c>
      <c r="L31">
        <v>89.752794707166842</v>
      </c>
      <c r="M31">
        <v>26.838370607028754</v>
      </c>
      <c r="N31" s="20">
        <v>51.217902097902105</v>
      </c>
      <c r="O31">
        <v>140.14283524904215</v>
      </c>
      <c r="P31">
        <v>59.514889705882354</v>
      </c>
      <c r="Q31" s="54">
        <v>22.339258760546866</v>
      </c>
      <c r="R31">
        <v>49.769262640549776</v>
      </c>
      <c r="S31">
        <v>9.3672297297297291</v>
      </c>
      <c r="V31" s="20">
        <v>22.2</v>
      </c>
      <c r="W31" s="20">
        <v>15.8</v>
      </c>
      <c r="X31" s="20">
        <v>41.5</v>
      </c>
      <c r="Y31" s="86">
        <v>134.19999999999999</v>
      </c>
      <c r="Z31">
        <v>27.5</v>
      </c>
      <c r="AA31">
        <v>48.9</v>
      </c>
      <c r="AB31">
        <v>72.8</v>
      </c>
      <c r="AC31" s="20">
        <v>38.6</v>
      </c>
      <c r="AD31" s="20">
        <v>29.9</v>
      </c>
      <c r="AE31" s="20">
        <v>59.514889705882354</v>
      </c>
      <c r="AF31" s="87">
        <v>0.6352945433492545</v>
      </c>
      <c r="AG31">
        <v>28.393713669992906</v>
      </c>
      <c r="AH31" s="56">
        <v>223.47500701185515</v>
      </c>
      <c r="AI31">
        <v>26.003407020307034</v>
      </c>
    </row>
    <row r="32" spans="1:35">
      <c r="A32" s="20">
        <v>29</v>
      </c>
      <c r="B32" s="20">
        <v>87</v>
      </c>
      <c r="C32" s="20" t="s">
        <v>69</v>
      </c>
      <c r="D32" s="59" t="s">
        <v>130</v>
      </c>
      <c r="E32" s="59" t="s">
        <v>131</v>
      </c>
      <c r="F32" s="57"/>
      <c r="G32" s="57"/>
      <c r="H32" s="20">
        <v>108.77116788321169</v>
      </c>
      <c r="I32" s="20">
        <v>109.80621722846442</v>
      </c>
      <c r="J32" s="20">
        <v>14.54099803389196</v>
      </c>
      <c r="K32" s="20">
        <v>26.095315126050423</v>
      </c>
      <c r="L32">
        <v>102.10553074992667</v>
      </c>
      <c r="M32">
        <v>26.227763578274764</v>
      </c>
      <c r="N32" s="20">
        <v>46.642167832167829</v>
      </c>
      <c r="O32">
        <v>113.99980842911876</v>
      </c>
      <c r="P32">
        <v>61.530698529411758</v>
      </c>
      <c r="Q32" s="54">
        <v>21.707985390944266</v>
      </c>
      <c r="R32">
        <v>49.856057034274855</v>
      </c>
      <c r="S32">
        <v>4.7398648648648649</v>
      </c>
      <c r="V32" s="20">
        <v>21.8</v>
      </c>
      <c r="W32" s="20">
        <v>19.399999999999999</v>
      </c>
      <c r="X32" s="20">
        <v>43</v>
      </c>
      <c r="Y32" s="86">
        <v>140.30000000000001</v>
      </c>
      <c r="Z32">
        <v>36.4</v>
      </c>
      <c r="AA32">
        <v>49.3</v>
      </c>
      <c r="AB32">
        <v>88.1</v>
      </c>
      <c r="AC32" s="20">
        <v>46.2</v>
      </c>
      <c r="AD32" s="20">
        <v>31.2</v>
      </c>
      <c r="AE32" s="20">
        <v>61.530698529411758</v>
      </c>
      <c r="AF32" s="87">
        <v>0.46891735417571284</v>
      </c>
      <c r="AG32">
        <v>26.578159291652703</v>
      </c>
      <c r="AH32" s="56">
        <v>211.94478078546459</v>
      </c>
      <c r="AI32">
        <v>18.056548629119153</v>
      </c>
    </row>
    <row r="33" spans="1:35">
      <c r="A33" s="20">
        <v>30</v>
      </c>
      <c r="B33" s="20">
        <v>90</v>
      </c>
      <c r="C33" s="20" t="s">
        <v>69</v>
      </c>
      <c r="D33" s="59" t="s">
        <v>130</v>
      </c>
      <c r="E33" s="59" t="s">
        <v>131</v>
      </c>
      <c r="F33" s="57"/>
      <c r="G33" s="57"/>
      <c r="H33" s="20">
        <v>111.05667883211679</v>
      </c>
      <c r="I33" s="20">
        <v>129.04516853932583</v>
      </c>
      <c r="J33" s="20">
        <v>7.489935399307182</v>
      </c>
      <c r="K33" s="20">
        <v>15.629747899159662</v>
      </c>
      <c r="L33">
        <v>78.939314930091584</v>
      </c>
      <c r="M33">
        <v>24.493769968051115</v>
      </c>
      <c r="N33" s="20">
        <v>46.085909090909091</v>
      </c>
      <c r="O33">
        <v>109.64337164750957</v>
      </c>
      <c r="P33">
        <v>43.890698529411765</v>
      </c>
      <c r="Q33" s="54">
        <v>21.686629239105645</v>
      </c>
      <c r="R33">
        <v>44.655536982269659</v>
      </c>
      <c r="S33">
        <v>6.79695945945946</v>
      </c>
      <c r="V33" s="20">
        <v>19.7</v>
      </c>
      <c r="W33" s="20">
        <v>10.9</v>
      </c>
      <c r="X33" s="20">
        <v>41.4</v>
      </c>
      <c r="Y33" s="86">
        <v>155.6</v>
      </c>
      <c r="Z33">
        <v>18.5</v>
      </c>
      <c r="AA33">
        <v>28.9</v>
      </c>
      <c r="AB33">
        <v>54.4</v>
      </c>
      <c r="AC33" s="20">
        <v>38</v>
      </c>
      <c r="AD33" s="20">
        <v>28.7</v>
      </c>
      <c r="AE33" s="20">
        <v>43.890698529411765</v>
      </c>
      <c r="AF33" s="87">
        <v>0.42299898682877407</v>
      </c>
      <c r="AG33">
        <v>24.522236757228164</v>
      </c>
      <c r="AH33" s="56">
        <v>185.54531710687436</v>
      </c>
      <c r="AI33">
        <v>18.064127107558381</v>
      </c>
    </row>
    <row r="34" spans="1:35">
      <c r="A34" s="20">
        <v>31</v>
      </c>
      <c r="B34" s="20">
        <v>93</v>
      </c>
      <c r="C34" s="20" t="s">
        <v>72</v>
      </c>
      <c r="D34" s="59" t="s">
        <v>132</v>
      </c>
      <c r="E34" s="59" t="s">
        <v>133</v>
      </c>
      <c r="F34" s="57"/>
      <c r="G34" s="57"/>
      <c r="H34" s="20">
        <v>106.33145985401461</v>
      </c>
      <c r="I34" s="20">
        <v>119.5165543071161</v>
      </c>
      <c r="J34" s="20">
        <v>13.117311113191649</v>
      </c>
      <c r="K34" s="20">
        <v>27.672289915966388</v>
      </c>
      <c r="L34">
        <v>96.348727308281468</v>
      </c>
      <c r="M34">
        <v>29.677955271565491</v>
      </c>
      <c r="N34" s="20">
        <v>37.228846153846156</v>
      </c>
      <c r="O34">
        <v>90.947777777777787</v>
      </c>
      <c r="P34">
        <v>50.619779411764704</v>
      </c>
      <c r="Q34" s="54">
        <v>20.394763037206761</v>
      </c>
      <c r="R34">
        <v>45.94923778092096</v>
      </c>
      <c r="S34">
        <v>5.9449324324324326</v>
      </c>
      <c r="V34" s="20">
        <v>19.8</v>
      </c>
      <c r="W34" s="20">
        <v>22.5</v>
      </c>
      <c r="X34" s="20">
        <v>41.6</v>
      </c>
      <c r="Y34" s="86">
        <v>158.5</v>
      </c>
      <c r="Z34">
        <v>42</v>
      </c>
      <c r="AA34">
        <v>48.7</v>
      </c>
      <c r="AB34">
        <v>73.400000000000006</v>
      </c>
      <c r="AC34" s="20">
        <v>38</v>
      </c>
      <c r="AD34" s="20">
        <v>31.8</v>
      </c>
      <c r="AE34" s="20">
        <v>50.619779411764704</v>
      </c>
      <c r="AF34" s="87">
        <v>0.37404110580402372</v>
      </c>
      <c r="AG34">
        <v>22.297660104291673</v>
      </c>
      <c r="AH34" s="56">
        <v>107.28069995416641</v>
      </c>
      <c r="AI34">
        <v>19.842433548276556</v>
      </c>
    </row>
    <row r="35" spans="1:35">
      <c r="A35" s="20">
        <v>32</v>
      </c>
      <c r="B35" s="20">
        <v>96</v>
      </c>
      <c r="C35" s="20" t="s">
        <v>72</v>
      </c>
      <c r="D35" s="59" t="s">
        <v>132</v>
      </c>
      <c r="E35" s="59" t="s">
        <v>133</v>
      </c>
      <c r="F35" s="57"/>
      <c r="G35" s="57"/>
      <c r="H35" s="20">
        <v>125.45718978102191</v>
      </c>
      <c r="I35" s="20">
        <v>111.68385767790262</v>
      </c>
      <c r="J35" s="20">
        <v>27.1654339481322</v>
      </c>
      <c r="K35" s="20">
        <v>27.342941176470589</v>
      </c>
      <c r="L35">
        <v>154.91272039891797</v>
      </c>
      <c r="M35">
        <v>30.822428115015974</v>
      </c>
      <c r="N35" s="20">
        <v>74.438006993006994</v>
      </c>
      <c r="O35">
        <v>165.07417624521074</v>
      </c>
      <c r="P35">
        <v>97.68448529411765</v>
      </c>
      <c r="Q35" s="54">
        <v>20.41575722037015</v>
      </c>
      <c r="R35">
        <v>57.080350892232083</v>
      </c>
      <c r="S35">
        <v>7.5091216216216212</v>
      </c>
      <c r="V35" s="20">
        <v>35.200000000000003</v>
      </c>
      <c r="W35" s="20">
        <v>26.6</v>
      </c>
      <c r="X35" s="20">
        <v>46.3</v>
      </c>
      <c r="Y35" s="86">
        <v>169.2</v>
      </c>
      <c r="Z35">
        <v>53.8</v>
      </c>
      <c r="AA35">
        <v>40.1</v>
      </c>
      <c r="AB35">
        <v>85.5</v>
      </c>
      <c r="AC35" s="20">
        <v>47</v>
      </c>
      <c r="AD35" s="20">
        <v>35.9</v>
      </c>
      <c r="AE35" s="20">
        <v>97.68448529411765</v>
      </c>
      <c r="AF35" s="87">
        <v>0.35725141120277892</v>
      </c>
      <c r="AG35">
        <v>23.763653595972478</v>
      </c>
      <c r="AH35" s="56">
        <v>255.01843604846044</v>
      </c>
      <c r="AI35">
        <v>37.818913905189945</v>
      </c>
    </row>
    <row r="36" spans="1:35">
      <c r="A36" s="20">
        <v>33</v>
      </c>
      <c r="B36" s="20">
        <v>99</v>
      </c>
      <c r="C36" s="20" t="s">
        <v>72</v>
      </c>
      <c r="D36" s="59" t="s">
        <v>132</v>
      </c>
      <c r="E36" s="59" t="s">
        <v>133</v>
      </c>
      <c r="F36" s="57"/>
      <c r="G36" s="57"/>
      <c r="H36" s="20">
        <v>158.71886861313868</v>
      </c>
      <c r="I36" s="20">
        <v>167.82029962546815</v>
      </c>
      <c r="J36" s="20">
        <v>92.958374684018366</v>
      </c>
      <c r="K36" s="20">
        <v>42.55294117647059</v>
      </c>
      <c r="L36">
        <v>175.37372486393116</v>
      </c>
      <c r="M36">
        <v>51.926134185303511</v>
      </c>
      <c r="N36" s="20">
        <v>133.11730769230769</v>
      </c>
      <c r="O36">
        <v>207.01716475095785</v>
      </c>
      <c r="P36">
        <v>157.88375000000002</v>
      </c>
      <c r="Q36" s="54">
        <v>24.64608512779304</v>
      </c>
      <c r="R36">
        <v>79.047904790479052</v>
      </c>
      <c r="S36">
        <v>22.065202702702702</v>
      </c>
      <c r="V36" s="20">
        <v>45</v>
      </c>
      <c r="W36" s="20">
        <v>50.6</v>
      </c>
      <c r="X36" s="20">
        <v>57</v>
      </c>
      <c r="Y36" s="86">
        <v>183.3</v>
      </c>
      <c r="Z36">
        <v>93.5</v>
      </c>
      <c r="AA36">
        <v>106.9</v>
      </c>
      <c r="AB36">
        <v>169.1</v>
      </c>
      <c r="AC36" s="20">
        <v>40.1</v>
      </c>
      <c r="AD36" s="20">
        <v>51.5</v>
      </c>
      <c r="AE36" s="20">
        <v>157.88375000000002</v>
      </c>
      <c r="AF36" s="87">
        <v>0.26436532059632362</v>
      </c>
      <c r="AG36">
        <v>35.049785398445358</v>
      </c>
      <c r="AH36" s="56">
        <v>363.37896169816872</v>
      </c>
      <c r="AI36">
        <v>24.650154370310819</v>
      </c>
    </row>
    <row r="37" spans="1:35">
      <c r="A37" s="20">
        <v>34</v>
      </c>
      <c r="B37" s="20">
        <v>102</v>
      </c>
      <c r="C37" s="20" t="s">
        <v>69</v>
      </c>
      <c r="D37" s="59" t="s">
        <v>132</v>
      </c>
      <c r="E37" s="59" t="s">
        <v>133</v>
      </c>
      <c r="F37" s="57"/>
      <c r="G37" s="57"/>
      <c r="H37" s="20">
        <v>137.76496350364962</v>
      </c>
      <c r="I37" s="20">
        <v>183.74044943820223</v>
      </c>
      <c r="J37" s="20">
        <v>127.95607152888306</v>
      </c>
      <c r="K37" s="20">
        <v>43.459348739495802</v>
      </c>
      <c r="L37">
        <v>177.30225206140207</v>
      </c>
      <c r="M37">
        <v>40.923674121405753</v>
      </c>
      <c r="N37" s="20">
        <v>141.41304195804199</v>
      </c>
      <c r="O37">
        <v>239.85486590038315</v>
      </c>
      <c r="P37">
        <v>219.93275735294117</v>
      </c>
      <c r="Q37" s="54">
        <v>28.221611701723333</v>
      </c>
      <c r="R37">
        <v>74.260640349749252</v>
      </c>
      <c r="S37">
        <v>25.45777027027027</v>
      </c>
      <c r="V37" s="20">
        <v>53.1</v>
      </c>
      <c r="W37" s="20">
        <v>51.8</v>
      </c>
      <c r="X37" s="20">
        <v>62.3</v>
      </c>
      <c r="Y37" s="86">
        <v>183.5</v>
      </c>
      <c r="Z37">
        <v>86.1</v>
      </c>
      <c r="AA37">
        <v>157.9</v>
      </c>
      <c r="AB37">
        <v>188.4</v>
      </c>
      <c r="AC37" s="20">
        <v>55.9</v>
      </c>
      <c r="AD37" s="20">
        <v>53.9</v>
      </c>
      <c r="AE37" s="20">
        <v>219.93275735294117</v>
      </c>
      <c r="AF37" s="87">
        <v>0.26961210015921261</v>
      </c>
      <c r="AG37">
        <v>30.560991167281102</v>
      </c>
      <c r="AH37" s="56">
        <v>325.20881646725633</v>
      </c>
      <c r="AI37">
        <v>33.142663209123171</v>
      </c>
    </row>
    <row r="38" spans="1:35">
      <c r="A38" s="20">
        <v>35</v>
      </c>
      <c r="B38" s="20">
        <v>105</v>
      </c>
      <c r="C38" s="20" t="s">
        <v>69</v>
      </c>
      <c r="D38" s="59" t="s">
        <v>132</v>
      </c>
      <c r="E38" s="59" t="s">
        <v>133</v>
      </c>
      <c r="F38" s="57"/>
      <c r="G38" s="57"/>
      <c r="H38" s="20">
        <v>154.16974452554746</v>
      </c>
      <c r="I38" s="20">
        <v>141.51539325842697</v>
      </c>
      <c r="J38" s="20">
        <v>135.38178073214121</v>
      </c>
      <c r="K38" s="20">
        <v>51.236953781512604</v>
      </c>
      <c r="L38">
        <v>159.09813251637715</v>
      </c>
      <c r="M38">
        <v>36.609169329073481</v>
      </c>
      <c r="N38" s="20">
        <v>113.8127972027972</v>
      </c>
      <c r="O38">
        <v>192.05839080459771</v>
      </c>
      <c r="P38">
        <v>131.54073529411767</v>
      </c>
      <c r="Q38" s="54">
        <v>26.930107468499674</v>
      </c>
      <c r="R38">
        <v>58.566213764233559</v>
      </c>
      <c r="S38">
        <v>18.820270270270271</v>
      </c>
      <c r="V38" s="20">
        <v>39.9</v>
      </c>
      <c r="W38" s="20">
        <v>49.7</v>
      </c>
      <c r="X38" s="20">
        <v>46.8</v>
      </c>
      <c r="Y38" s="86">
        <v>125.3</v>
      </c>
      <c r="Z38">
        <v>90</v>
      </c>
      <c r="AA38">
        <v>209.8</v>
      </c>
      <c r="AB38">
        <v>143</v>
      </c>
      <c r="AC38" s="20">
        <v>38</v>
      </c>
      <c r="AD38" s="20">
        <v>52.1</v>
      </c>
      <c r="AE38" s="20">
        <v>131.54073529411767</v>
      </c>
      <c r="AF38" s="87">
        <v>0.39452163844261107</v>
      </c>
      <c r="AG38">
        <v>32.14734892302814</v>
      </c>
      <c r="AH38" s="56">
        <v>247.52840656446458</v>
      </c>
      <c r="AI38">
        <v>37.558280146692987</v>
      </c>
    </row>
    <row r="39" spans="1:35">
      <c r="A39" s="20">
        <v>36</v>
      </c>
      <c r="B39" s="20">
        <v>108</v>
      </c>
      <c r="C39" s="20" t="s">
        <v>69</v>
      </c>
      <c r="D39" s="59" t="s">
        <v>132</v>
      </c>
      <c r="E39" s="59" t="s">
        <v>133</v>
      </c>
      <c r="F39" s="57"/>
      <c r="G39" s="57"/>
      <c r="H39" s="20">
        <v>81.518029197080281</v>
      </c>
      <c r="I39" s="20">
        <v>118.64434456928838</v>
      </c>
      <c r="J39" s="20">
        <v>70.935904877820434</v>
      </c>
      <c r="K39" s="20">
        <v>30.490966386554625</v>
      </c>
      <c r="L39">
        <v>107.94446436137275</v>
      </c>
      <c r="M39">
        <v>18.609041533546325</v>
      </c>
      <c r="N39" s="20">
        <v>82.808426573426573</v>
      </c>
      <c r="O39">
        <v>150.4309578544061</v>
      </c>
      <c r="P39">
        <v>91.646911764705877</v>
      </c>
      <c r="Q39" s="54">
        <v>21.643192998077946</v>
      </c>
      <c r="R39">
        <v>47.340448330547346</v>
      </c>
      <c r="S39">
        <v>11.037162162162161</v>
      </c>
      <c r="V39" s="20">
        <v>27.9</v>
      </c>
      <c r="W39" s="20">
        <v>29</v>
      </c>
      <c r="X39" s="20">
        <v>32.200000000000003</v>
      </c>
      <c r="Y39" s="86">
        <v>148.80000000000001</v>
      </c>
      <c r="Z39">
        <v>49.6</v>
      </c>
      <c r="AA39">
        <v>167.7</v>
      </c>
      <c r="AB39">
        <v>73.599999999999994</v>
      </c>
      <c r="AC39" s="20">
        <v>38.1</v>
      </c>
      <c r="AD39" s="20">
        <v>36.6</v>
      </c>
      <c r="AE39" s="20">
        <v>91.646911764705877</v>
      </c>
      <c r="AF39" s="87">
        <v>0.18573599652627007</v>
      </c>
      <c r="AG39">
        <v>29.971422496585479</v>
      </c>
      <c r="AH39" s="56">
        <v>248.11637627325027</v>
      </c>
      <c r="AI39">
        <v>15.025157253427615</v>
      </c>
    </row>
    <row r="40" spans="1:35">
      <c r="A40" s="20">
        <v>37</v>
      </c>
      <c r="B40" s="20">
        <v>111</v>
      </c>
      <c r="C40" s="20" t="s">
        <v>69</v>
      </c>
      <c r="D40" s="59" t="s">
        <v>132</v>
      </c>
      <c r="E40" s="59" t="s">
        <v>133</v>
      </c>
      <c r="F40" s="57"/>
      <c r="G40" s="57"/>
      <c r="H40" s="20">
        <v>65.056204379562033</v>
      </c>
      <c r="I40" s="20">
        <v>52.751685393258427</v>
      </c>
      <c r="J40" s="20">
        <v>27.462859282838689</v>
      </c>
      <c r="K40" s="20">
        <v>19.806428571428572</v>
      </c>
      <c r="L40">
        <v>70.069549913632969</v>
      </c>
      <c r="M40">
        <v>18.766932907348242</v>
      </c>
      <c r="N40" s="20">
        <v>44.969370629370637</v>
      </c>
      <c r="O40">
        <v>103.87398467432951</v>
      </c>
      <c r="P40">
        <v>29.847132352941177</v>
      </c>
      <c r="Q40" s="54">
        <v>17.402729967748591</v>
      </c>
      <c r="R40">
        <v>37.43195748146244</v>
      </c>
      <c r="S40">
        <v>7.1834459459459463</v>
      </c>
      <c r="V40" s="20">
        <v>11.2</v>
      </c>
      <c r="W40" s="20">
        <v>19</v>
      </c>
      <c r="X40" s="20">
        <v>23</v>
      </c>
      <c r="Y40" s="86">
        <v>70.3</v>
      </c>
      <c r="Z40">
        <v>24.9</v>
      </c>
      <c r="AA40">
        <v>69.3</v>
      </c>
      <c r="AB40">
        <v>52.5</v>
      </c>
      <c r="AC40" s="20">
        <v>33.299999999999997</v>
      </c>
      <c r="AD40" s="20">
        <v>29.1</v>
      </c>
      <c r="AE40" s="20">
        <v>29.847132352941177</v>
      </c>
      <c r="AF40" s="87">
        <v>0.22014763352149372</v>
      </c>
      <c r="AG40">
        <v>26.862492837605544</v>
      </c>
      <c r="AH40" s="56">
        <v>165.18220562179764</v>
      </c>
      <c r="AI40">
        <v>15.025157253427615</v>
      </c>
    </row>
    <row r="41" spans="1:35">
      <c r="A41" s="20">
        <v>38</v>
      </c>
      <c r="B41" s="20">
        <v>114</v>
      </c>
      <c r="C41" s="20" t="s">
        <v>69</v>
      </c>
      <c r="D41" s="59" t="s">
        <v>132</v>
      </c>
      <c r="E41" s="59" t="s">
        <v>133</v>
      </c>
      <c r="F41" s="57"/>
      <c r="G41" s="57"/>
      <c r="H41" s="20">
        <v>57.640839416058398</v>
      </c>
      <c r="I41" s="20">
        <v>67.484007490636699</v>
      </c>
      <c r="J41" s="20">
        <v>13.706694129763131</v>
      </c>
      <c r="K41" s="20">
        <v>15.331449579831931</v>
      </c>
      <c r="L41">
        <v>57.89466479809667</v>
      </c>
      <c r="M41">
        <v>13.368019169329076</v>
      </c>
      <c r="N41" s="20">
        <v>50.12332167832168</v>
      </c>
      <c r="O41">
        <v>120.2411877394636</v>
      </c>
      <c r="P41">
        <v>43.557352941176475</v>
      </c>
      <c r="Q41" s="54">
        <v>22.883659648094053</v>
      </c>
      <c r="R41">
        <v>41.383424056691382</v>
      </c>
      <c r="S41">
        <v>6.6398648648648653</v>
      </c>
      <c r="V41" s="20">
        <v>14.8</v>
      </c>
      <c r="W41" s="20">
        <v>15.3</v>
      </c>
      <c r="X41" s="20">
        <v>26.1</v>
      </c>
      <c r="Y41" s="86">
        <v>85.9</v>
      </c>
      <c r="Z41">
        <v>15.9</v>
      </c>
      <c r="AA41">
        <v>33.4</v>
      </c>
      <c r="AB41">
        <v>56.3</v>
      </c>
      <c r="AC41" s="20">
        <v>48.4</v>
      </c>
      <c r="AD41" s="20">
        <v>32</v>
      </c>
      <c r="AE41" s="20">
        <v>43.557352941176475</v>
      </c>
      <c r="AF41" s="87">
        <v>0.18077869445650599</v>
      </c>
      <c r="AG41">
        <v>28.044873527429722</v>
      </c>
      <c r="AH41" s="56">
        <v>151.98521011622574</v>
      </c>
      <c r="AI41">
        <v>15.024168756239888</v>
      </c>
    </row>
    <row r="42" spans="1:35">
      <c r="A42" s="20">
        <v>39</v>
      </c>
      <c r="B42" s="20">
        <v>117</v>
      </c>
      <c r="C42" s="20" t="s">
        <v>69</v>
      </c>
      <c r="D42" s="59" t="s">
        <v>132</v>
      </c>
      <c r="E42" s="59" t="s">
        <v>133</v>
      </c>
      <c r="F42" s="57"/>
      <c r="G42" s="57"/>
      <c r="H42" s="20">
        <v>81.337299270073004</v>
      </c>
      <c r="I42" s="20">
        <v>68.434906367041208</v>
      </c>
      <c r="J42" s="20">
        <v>12.236831757326096</v>
      </c>
      <c r="K42" s="20">
        <v>16.726218487394956</v>
      </c>
      <c r="L42">
        <v>68.493921715607982</v>
      </c>
      <c r="M42">
        <v>20.426773162939298</v>
      </c>
      <c r="N42" s="20">
        <v>33.461118881118885</v>
      </c>
      <c r="O42">
        <v>89.91934865900383</v>
      </c>
      <c r="P42">
        <v>44.91231617647059</v>
      </c>
      <c r="Q42" s="54">
        <v>20.349154984127676</v>
      </c>
      <c r="R42">
        <v>36.596873973111599</v>
      </c>
      <c r="S42">
        <v>3.7861486486486489</v>
      </c>
      <c r="V42" s="20">
        <v>14.4</v>
      </c>
      <c r="W42" s="20">
        <v>15.3</v>
      </c>
      <c r="X42" s="20">
        <v>30.9</v>
      </c>
      <c r="Y42" s="86">
        <v>104.4</v>
      </c>
      <c r="Z42">
        <v>21.1</v>
      </c>
      <c r="AA42">
        <v>34.799999999999997</v>
      </c>
      <c r="AB42">
        <v>54.8</v>
      </c>
      <c r="AC42" s="20">
        <v>39.9</v>
      </c>
      <c r="AD42" s="20">
        <v>28.2</v>
      </c>
      <c r="AE42" s="20">
        <v>44.91231617647059</v>
      </c>
      <c r="AF42" s="87">
        <v>0.17064698219713417</v>
      </c>
      <c r="AG42">
        <v>25.777772972817139</v>
      </c>
      <c r="AH42" s="56">
        <v>135.61577770024829</v>
      </c>
      <c r="AI42">
        <v>5.9945764454300132</v>
      </c>
    </row>
    <row r="43" spans="1:35">
      <c r="A43" s="20">
        <v>40</v>
      </c>
      <c r="B43" s="20">
        <v>120</v>
      </c>
      <c r="C43" s="20" t="s">
        <v>69</v>
      </c>
      <c r="D43" s="59" t="s">
        <v>135</v>
      </c>
      <c r="E43" s="59" t="s">
        <v>136</v>
      </c>
      <c r="F43" s="57"/>
      <c r="G43" s="57"/>
      <c r="H43" s="20">
        <v>83.748284671532858</v>
      </c>
      <c r="I43" s="20">
        <v>68.531647940074905</v>
      </c>
      <c r="J43" s="20">
        <v>7.489935399307182</v>
      </c>
      <c r="K43" s="20">
        <v>11.225567226890757</v>
      </c>
      <c r="L43">
        <v>56.787406707297208</v>
      </c>
      <c r="M43">
        <v>20.323993610223642</v>
      </c>
      <c r="N43" s="20">
        <v>37.593671328671327</v>
      </c>
      <c r="O43">
        <v>95.977126436781617</v>
      </c>
      <c r="P43">
        <v>26.281801470588238</v>
      </c>
      <c r="Q43" s="54">
        <v>18.684823015416246</v>
      </c>
      <c r="R43">
        <v>34.601674453159603</v>
      </c>
      <c r="S43">
        <v>4.0554054054054047</v>
      </c>
      <c r="V43" s="20">
        <v>13.6</v>
      </c>
      <c r="W43" s="20">
        <v>3.8</v>
      </c>
      <c r="X43" s="20">
        <v>31.4</v>
      </c>
      <c r="Y43" s="86">
        <v>107.8</v>
      </c>
      <c r="Z43">
        <v>16.7</v>
      </c>
      <c r="AA43">
        <v>16.2</v>
      </c>
      <c r="AB43">
        <v>35.799999999999997</v>
      </c>
      <c r="AC43" s="20">
        <v>39.4</v>
      </c>
      <c r="AD43" s="20">
        <v>29.4</v>
      </c>
      <c r="AE43" s="20">
        <v>26.281801470588238</v>
      </c>
      <c r="AF43" s="87">
        <v>0.19698943407150094</v>
      </c>
      <c r="AG43">
        <v>25.471096359881948</v>
      </c>
      <c r="AH43" s="79">
        <v>132.9988165356647</v>
      </c>
      <c r="AI43">
        <v>6.5609853339967241</v>
      </c>
    </row>
    <row r="44" spans="1:35">
      <c r="A44" s="20">
        <v>41</v>
      </c>
      <c r="B44" s="20">
        <v>123</v>
      </c>
      <c r="C44" s="20" t="s">
        <v>73</v>
      </c>
      <c r="D44" s="59" t="s">
        <v>135</v>
      </c>
      <c r="E44" s="59" t="s">
        <v>136</v>
      </c>
      <c r="F44" s="57"/>
      <c r="G44" s="57"/>
      <c r="H44" s="20">
        <v>92.964562043795624</v>
      </c>
      <c r="I44" s="20">
        <v>74.771048689138567</v>
      </c>
      <c r="J44" s="20">
        <v>8.410785506975003</v>
      </c>
      <c r="K44" s="20">
        <v>20.739201680672267</v>
      </c>
      <c r="L44">
        <v>60.834175276211589</v>
      </c>
      <c r="M44">
        <v>19.443578274760384</v>
      </c>
      <c r="N44" s="20">
        <v>25.585314685314689</v>
      </c>
      <c r="O44">
        <v>66.706666666666663</v>
      </c>
      <c r="P44">
        <v>30.408235294117649</v>
      </c>
      <c r="Q44" s="54">
        <v>16.979588586403732</v>
      </c>
      <c r="R44">
        <v>37.786278627862792</v>
      </c>
      <c r="S44">
        <v>4.4692567567567565</v>
      </c>
      <c r="V44" s="20">
        <v>16.7</v>
      </c>
      <c r="W44" s="20">
        <v>17.7</v>
      </c>
      <c r="X44" s="20">
        <v>33.700000000000003</v>
      </c>
      <c r="Y44" s="86">
        <v>107.2</v>
      </c>
      <c r="Z44">
        <v>25.5</v>
      </c>
      <c r="AA44">
        <v>26.3</v>
      </c>
      <c r="AB44">
        <v>60.1</v>
      </c>
      <c r="AC44" s="20">
        <v>48.5</v>
      </c>
      <c r="AD44" s="20">
        <v>29.1</v>
      </c>
      <c r="AE44" s="20">
        <v>30.408235294117649</v>
      </c>
      <c r="AF44" s="87">
        <v>0.1998118396294688</v>
      </c>
      <c r="AG44">
        <v>30.749465748438691</v>
      </c>
      <c r="AH44" s="76">
        <v>153.53021254472193</v>
      </c>
      <c r="AI44">
        <v>4.9658803720703411</v>
      </c>
    </row>
    <row r="45" spans="1:35">
      <c r="A45" s="20">
        <v>42</v>
      </c>
      <c r="B45" s="20">
        <v>126</v>
      </c>
      <c r="C45" s="20" t="s">
        <v>73</v>
      </c>
      <c r="D45" s="59" t="s">
        <v>135</v>
      </c>
      <c r="E45" s="59" t="s">
        <v>136</v>
      </c>
      <c r="F45" s="57"/>
      <c r="G45" s="57"/>
      <c r="H45" s="20">
        <v>115.95857664233576</v>
      </c>
      <c r="I45" s="20">
        <v>142.79887640449439</v>
      </c>
      <c r="J45" s="20">
        <v>7.489935399307182</v>
      </c>
      <c r="K45" s="20">
        <v>19.729432773109242</v>
      </c>
      <c r="L45">
        <v>96.278069289182952</v>
      </c>
      <c r="M45">
        <v>26.823897763578273</v>
      </c>
      <c r="N45" s="20">
        <v>58.223076923076924</v>
      </c>
      <c r="O45">
        <v>117.50616858237548</v>
      </c>
      <c r="P45">
        <v>58.932977941176468</v>
      </c>
      <c r="Q45" s="54">
        <v>26.368332084541404</v>
      </c>
      <c r="R45">
        <v>56.505293386481512</v>
      </c>
      <c r="S45">
        <v>4.9996621621621617</v>
      </c>
      <c r="V45" s="20">
        <v>18.100000000000001</v>
      </c>
      <c r="W45" s="20">
        <v>16</v>
      </c>
      <c r="X45" s="20">
        <v>47.6</v>
      </c>
      <c r="Y45" s="86">
        <v>133.80000000000001</v>
      </c>
      <c r="Z45">
        <v>26.8</v>
      </c>
      <c r="AA45">
        <v>48.2</v>
      </c>
      <c r="AB45">
        <v>87.5</v>
      </c>
      <c r="AC45" s="20">
        <v>46.4</v>
      </c>
      <c r="AD45" s="20">
        <v>40</v>
      </c>
      <c r="AE45" s="20">
        <v>58.932977941176468</v>
      </c>
      <c r="AF45" s="87">
        <v>1.0610073816760746</v>
      </c>
      <c r="AG45">
        <v>32.661599835670344</v>
      </c>
      <c r="AH45" s="76">
        <v>231.7411291481109</v>
      </c>
      <c r="AI45">
        <v>17.745501514048193</v>
      </c>
    </row>
    <row r="46" spans="1:35">
      <c r="A46" s="20">
        <v>43</v>
      </c>
      <c r="B46" s="20">
        <v>129</v>
      </c>
      <c r="C46" s="20" t="s">
        <v>73</v>
      </c>
      <c r="D46" s="59" t="s">
        <v>135</v>
      </c>
      <c r="E46" s="59" t="s">
        <v>136</v>
      </c>
      <c r="F46" s="57"/>
      <c r="G46" s="57"/>
      <c r="H46" s="20">
        <v>260.29985401459857</v>
      </c>
      <c r="I46" s="20">
        <v>250.33576779026214</v>
      </c>
      <c r="J46" s="20">
        <v>31.548993539930724</v>
      </c>
      <c r="K46" s="20">
        <v>31.747815126050419</v>
      </c>
      <c r="L46">
        <v>154.05925105107065</v>
      </c>
      <c r="M46">
        <v>44.901948881789139</v>
      </c>
      <c r="N46" s="20">
        <v>120.30930069930069</v>
      </c>
      <c r="O46">
        <v>222.98850574712642</v>
      </c>
      <c r="P46">
        <v>118.70988970588235</v>
      </c>
      <c r="Q46" s="54">
        <v>30.353245230157778</v>
      </c>
      <c r="R46">
        <v>86.762962010486774</v>
      </c>
      <c r="S46">
        <v>4.7797297297297296</v>
      </c>
      <c r="V46" s="20">
        <v>27.3</v>
      </c>
      <c r="W46" s="20">
        <v>26.9</v>
      </c>
      <c r="X46" s="20">
        <v>34.200000000000003</v>
      </c>
      <c r="Y46" s="86">
        <v>181.6</v>
      </c>
      <c r="Z46">
        <v>48.1</v>
      </c>
      <c r="AA46">
        <v>183.3</v>
      </c>
      <c r="AB46">
        <v>219.8</v>
      </c>
      <c r="AC46" s="20">
        <v>41.4</v>
      </c>
      <c r="AD46" s="20">
        <v>58.4</v>
      </c>
      <c r="AE46" s="20">
        <v>118.70988970588235</v>
      </c>
      <c r="AF46" s="87">
        <v>2.2711680416847586</v>
      </c>
      <c r="AG46">
        <v>53.333982003019926</v>
      </c>
      <c r="AH46" s="79">
        <v>441.36310464424236</v>
      </c>
      <c r="AI46">
        <v>73.375487246738786</v>
      </c>
    </row>
    <row r="47" spans="1:35">
      <c r="A47" s="20">
        <v>44</v>
      </c>
      <c r="B47" s="20">
        <v>132</v>
      </c>
      <c r="C47" s="20" t="s">
        <v>69</v>
      </c>
      <c r="D47" s="59" t="s">
        <v>135</v>
      </c>
      <c r="E47" s="59" t="s">
        <v>136</v>
      </c>
      <c r="F47" s="57"/>
      <c r="G47" s="57"/>
      <c r="H47" s="20">
        <v>144.12631386861315</v>
      </c>
      <c r="I47" s="20">
        <v>177.94880149812732</v>
      </c>
      <c r="J47" s="20">
        <v>19.285497612583093</v>
      </c>
      <c r="K47" s="20">
        <v>21.841386554621849</v>
      </c>
      <c r="L47">
        <v>101.41602841964607</v>
      </c>
      <c r="M47">
        <v>19.043833865814698</v>
      </c>
      <c r="N47" s="20">
        <v>40.28685314685314</v>
      </c>
      <c r="O47">
        <v>197.10942528735632</v>
      </c>
      <c r="P47">
        <v>79.248639705882354</v>
      </c>
      <c r="Q47" s="54">
        <v>24.77422203882476</v>
      </c>
      <c r="R47">
        <v>50.548626291200549</v>
      </c>
      <c r="S47">
        <v>10.923986486486486</v>
      </c>
      <c r="V47" s="20">
        <v>18.5</v>
      </c>
      <c r="W47" s="20">
        <v>19.5</v>
      </c>
      <c r="X47" s="20">
        <v>23.4</v>
      </c>
      <c r="Y47" s="86">
        <v>124.1</v>
      </c>
      <c r="Z47">
        <v>42.2</v>
      </c>
      <c r="AA47">
        <v>87.8</v>
      </c>
      <c r="AB47">
        <v>163.69999999999999</v>
      </c>
      <c r="AC47" s="20">
        <v>39.6</v>
      </c>
      <c r="AD47" s="20">
        <v>38.9</v>
      </c>
      <c r="AE47" s="20">
        <v>79.248639705882354</v>
      </c>
      <c r="AF47" s="87">
        <v>1.6270444347951947</v>
      </c>
      <c r="AG47">
        <v>35.108165670237952</v>
      </c>
      <c r="AH47" s="56">
        <v>280.24606481006424</v>
      </c>
      <c r="AI47">
        <v>45.920966354850727</v>
      </c>
    </row>
    <row r="48" spans="1:35">
      <c r="A48" s="20">
        <v>45</v>
      </c>
      <c r="B48" s="20">
        <v>135</v>
      </c>
      <c r="C48" s="20" t="s">
        <v>69</v>
      </c>
      <c r="D48" s="59" t="s">
        <v>135</v>
      </c>
      <c r="E48" s="59" t="s">
        <v>136</v>
      </c>
      <c r="F48" s="57"/>
      <c r="G48" s="57"/>
      <c r="H48" s="20">
        <v>109.12324817518248</v>
      </c>
      <c r="I48" s="20">
        <v>105.14318352059925</v>
      </c>
      <c r="J48" s="20">
        <v>21.698792247916863</v>
      </c>
      <c r="K48" s="20">
        <v>31.395</v>
      </c>
      <c r="L48">
        <v>88.847537724472843</v>
      </c>
      <c r="M48">
        <v>23.498849840255591</v>
      </c>
      <c r="N48" s="20">
        <v>56.872587412587414</v>
      </c>
      <c r="O48">
        <v>164.65931034482759</v>
      </c>
      <c r="P48">
        <v>40.94911764705882</v>
      </c>
      <c r="Q48" s="54">
        <v>25.106147314011444</v>
      </c>
      <c r="R48">
        <v>48.062306230623065</v>
      </c>
      <c r="S48">
        <v>7.4679054054054053</v>
      </c>
      <c r="V48" s="20">
        <v>8</v>
      </c>
      <c r="W48" s="20">
        <v>26.8</v>
      </c>
      <c r="X48" s="20">
        <v>25.8</v>
      </c>
      <c r="Y48" s="86">
        <v>80.3</v>
      </c>
      <c r="Z48">
        <v>47.7</v>
      </c>
      <c r="AA48">
        <v>36.4</v>
      </c>
      <c r="AB48">
        <v>173.2</v>
      </c>
      <c r="AC48" s="20">
        <v>41.9</v>
      </c>
      <c r="AD48" s="20">
        <v>33.1</v>
      </c>
      <c r="AE48" s="20">
        <v>40.94911764705882</v>
      </c>
      <c r="AF48" s="87">
        <v>1.3813865971920682</v>
      </c>
      <c r="AG48">
        <v>33.88254033464149</v>
      </c>
      <c r="AH48" s="56">
        <v>241.63536984970685</v>
      </c>
      <c r="AI48">
        <v>42.006846990520309</v>
      </c>
    </row>
    <row r="49" spans="1:35">
      <c r="A49" s="20">
        <v>46</v>
      </c>
      <c r="B49" s="20">
        <v>138</v>
      </c>
      <c r="C49" s="20" t="s">
        <v>69</v>
      </c>
      <c r="D49" s="59" t="s">
        <v>135</v>
      </c>
      <c r="E49" s="59" t="s">
        <v>136</v>
      </c>
      <c r="F49" s="57"/>
      <c r="G49" s="57"/>
      <c r="H49" s="20">
        <v>43.264854014598541</v>
      </c>
      <c r="I49" s="20">
        <v>70.74464419475656</v>
      </c>
      <c r="J49" s="20">
        <v>14.874899353993074</v>
      </c>
      <c r="K49" s="20">
        <v>30.277310924369747</v>
      </c>
      <c r="L49">
        <v>59.803800149920164</v>
      </c>
      <c r="M49">
        <v>10.476038338658148</v>
      </c>
      <c r="N49" s="20">
        <v>52.730244755244755</v>
      </c>
      <c r="O49">
        <v>109.71157088122604</v>
      </c>
      <c r="P49">
        <v>47.546801470588242</v>
      </c>
      <c r="Q49" s="54">
        <v>22.42287352452519</v>
      </c>
      <c r="R49">
        <v>31.624233851956625</v>
      </c>
      <c r="S49">
        <v>5.9479729729729733</v>
      </c>
      <c r="V49" s="20">
        <v>18.100000000000001</v>
      </c>
      <c r="W49" s="20">
        <v>30.5</v>
      </c>
      <c r="X49" s="20">
        <v>58.3</v>
      </c>
      <c r="Y49" s="86">
        <v>92.3</v>
      </c>
      <c r="Z49">
        <v>40.799999999999997</v>
      </c>
      <c r="AA49">
        <v>29.5</v>
      </c>
      <c r="AB49">
        <v>99.5</v>
      </c>
      <c r="AC49" s="20">
        <v>38.200000000000003</v>
      </c>
      <c r="AD49" s="20">
        <v>28.7</v>
      </c>
      <c r="AE49" s="20">
        <v>47.546801470588242</v>
      </c>
      <c r="AF49" s="87">
        <v>0.89680127370096974</v>
      </c>
      <c r="AG49">
        <v>37.862489233885064</v>
      </c>
      <c r="AH49" s="56">
        <v>149.53619143390728</v>
      </c>
      <c r="AI49">
        <v>30.323798728792617</v>
      </c>
    </row>
    <row r="50" spans="1:35">
      <c r="A50" s="20">
        <v>47</v>
      </c>
      <c r="B50" s="20">
        <v>141</v>
      </c>
      <c r="C50" s="20" t="s">
        <v>69</v>
      </c>
      <c r="D50" s="59" t="s">
        <v>135</v>
      </c>
      <c r="E50" s="59" t="s">
        <v>136</v>
      </c>
      <c r="F50" s="57"/>
      <c r="G50" s="57"/>
      <c r="H50" s="20">
        <v>84.936313868613155</v>
      </c>
      <c r="I50" s="20">
        <v>57.88119850187266</v>
      </c>
      <c r="J50" s="20">
        <v>13.645164310457822</v>
      </c>
      <c r="K50" s="20">
        <v>23.067794117647061</v>
      </c>
      <c r="L50">
        <v>59.033601668676468</v>
      </c>
      <c r="M50">
        <v>16.120255591054313</v>
      </c>
      <c r="N50" s="20">
        <v>50.469020979020975</v>
      </c>
      <c r="O50">
        <v>119.59080459770115</v>
      </c>
      <c r="P50">
        <v>35.77628676470588</v>
      </c>
      <c r="Q50" s="54">
        <v>19.52241852990042</v>
      </c>
      <c r="R50">
        <v>38.658508708013663</v>
      </c>
      <c r="S50">
        <v>6.0003378378378374</v>
      </c>
      <c r="V50" s="20">
        <v>9.4</v>
      </c>
      <c r="W50" s="20">
        <v>21.2</v>
      </c>
      <c r="X50" s="20">
        <v>27.7</v>
      </c>
      <c r="Y50" s="86">
        <v>58.9</v>
      </c>
      <c r="Z50">
        <v>38.799999999999997</v>
      </c>
      <c r="AA50">
        <v>35.4</v>
      </c>
      <c r="AB50">
        <v>67.3</v>
      </c>
      <c r="AC50" s="20">
        <v>44.4</v>
      </c>
      <c r="AD50" s="20">
        <v>30.7</v>
      </c>
      <c r="AE50" s="20">
        <v>35.77628676470588</v>
      </c>
      <c r="AF50" s="87">
        <v>0.52272398321030544</v>
      </c>
      <c r="AG50">
        <v>25.492718682768089</v>
      </c>
      <c r="AH50" s="56">
        <v>129.12827248411213</v>
      </c>
      <c r="AI50">
        <v>11.083359967840892</v>
      </c>
    </row>
    <row r="51" spans="1:35">
      <c r="A51" s="20">
        <v>48</v>
      </c>
      <c r="B51" s="20">
        <v>144</v>
      </c>
      <c r="C51" s="20" t="s">
        <v>69</v>
      </c>
      <c r="D51" s="59" t="s">
        <v>135</v>
      </c>
      <c r="E51" s="59" t="s">
        <v>136</v>
      </c>
      <c r="F51" s="57"/>
      <c r="G51" s="57"/>
      <c r="H51" s="20">
        <v>81.777919708029188</v>
      </c>
      <c r="I51" s="20">
        <v>72.255393258426963</v>
      </c>
      <c r="J51" s="20">
        <v>7.489935399307182</v>
      </c>
      <c r="K51" s="20">
        <v>16.959285714285716</v>
      </c>
      <c r="L51">
        <v>65.531564710100056</v>
      </c>
      <c r="M51">
        <v>12.650702875399361</v>
      </c>
      <c r="N51" s="20">
        <v>48.900944055944052</v>
      </c>
      <c r="O51">
        <v>117.56701149425287</v>
      </c>
      <c r="P51">
        <v>45.442794117647061</v>
      </c>
      <c r="Q51" s="54">
        <v>22.169495451863597</v>
      </c>
      <c r="R51">
        <v>38.579572242938582</v>
      </c>
      <c r="S51">
        <v>5.9361486486486488</v>
      </c>
      <c r="V51" s="20">
        <v>14.9</v>
      </c>
      <c r="W51" s="20">
        <v>14</v>
      </c>
      <c r="X51" s="20">
        <v>32.6</v>
      </c>
      <c r="Y51" s="86">
        <v>88.8</v>
      </c>
      <c r="Z51">
        <v>30.8</v>
      </c>
      <c r="AA51">
        <v>24.6</v>
      </c>
      <c r="AB51">
        <v>46.1</v>
      </c>
      <c r="AC51" s="20">
        <v>38</v>
      </c>
      <c r="AD51" s="20">
        <v>30</v>
      </c>
      <c r="AE51" s="20">
        <v>45.442794117647061</v>
      </c>
      <c r="AF51" s="87">
        <v>0.37016934433347803</v>
      </c>
      <c r="AG51">
        <v>22.691907124915765</v>
      </c>
      <c r="AH51" s="56">
        <v>131.45381410716851</v>
      </c>
      <c r="AI51">
        <v>11.204286123805977</v>
      </c>
    </row>
    <row r="52" spans="1:35">
      <c r="A52" s="20">
        <v>49</v>
      </c>
      <c r="B52" s="20">
        <v>147</v>
      </c>
      <c r="C52" s="20" t="s">
        <v>69</v>
      </c>
      <c r="D52" s="20"/>
      <c r="E52" s="20"/>
      <c r="F52" s="57"/>
      <c r="G52" s="57"/>
      <c r="H52" s="20">
        <v>87.275510948905108</v>
      </c>
      <c r="I52" s="20">
        <v>74.290337078651689</v>
      </c>
      <c r="J52" s="20">
        <v>12.291807883157009</v>
      </c>
      <c r="K52" s="20">
        <v>18.796995798319326</v>
      </c>
      <c r="L52">
        <v>67.395463285858625</v>
      </c>
      <c r="M52">
        <v>18.088753993610226</v>
      </c>
      <c r="N52" s="20">
        <v>44.948601398601397</v>
      </c>
      <c r="O52">
        <v>108.26482758620689</v>
      </c>
      <c r="P52">
        <v>52.842683823529413</v>
      </c>
      <c r="Q52" s="54">
        <v>20.897899495777637</v>
      </c>
      <c r="R52">
        <v>38.613861386138623</v>
      </c>
      <c r="S52">
        <v>3.9753378378378379</v>
      </c>
      <c r="V52" s="20">
        <v>18.7</v>
      </c>
      <c r="W52" s="20">
        <v>18.899999999999999</v>
      </c>
      <c r="X52" s="20">
        <v>37.700000000000003</v>
      </c>
      <c r="Y52" s="86">
        <v>99.6</v>
      </c>
      <c r="Z52">
        <v>27.8</v>
      </c>
      <c r="AA52">
        <v>35.1</v>
      </c>
      <c r="AB52">
        <v>66.7</v>
      </c>
      <c r="AC52" s="88">
        <v>162.9</v>
      </c>
      <c r="AD52" s="20">
        <v>35.799999999999997</v>
      </c>
      <c r="AE52" s="20">
        <v>52.842683823529413</v>
      </c>
      <c r="AF52" s="87">
        <v>0.37548849326964828</v>
      </c>
      <c r="AG52">
        <v>29.239146494841275</v>
      </c>
      <c r="AH52" s="56">
        <v>136.48558978252984</v>
      </c>
      <c r="AI52">
        <v>10.226332906082884</v>
      </c>
    </row>
    <row r="53" spans="1:35" ht="17.100000000000001" thickBot="1">
      <c r="A53" s="62">
        <v>50</v>
      </c>
      <c r="B53" s="62">
        <v>150</v>
      </c>
      <c r="C53" s="62" t="s">
        <v>69</v>
      </c>
      <c r="D53" s="20"/>
      <c r="E53" s="20"/>
      <c r="F53" s="63"/>
      <c r="G53" s="63"/>
      <c r="H53" s="62">
        <v>85.316204379562038</v>
      </c>
      <c r="I53" s="62">
        <v>87.727528089887642</v>
      </c>
      <c r="J53" s="62">
        <v>7.489935399307182</v>
      </c>
      <c r="K53" s="62">
        <v>13.806575630252102</v>
      </c>
      <c r="L53">
        <v>56.255744223185481</v>
      </c>
      <c r="M53">
        <v>20.568338658146967</v>
      </c>
      <c r="N53" s="62">
        <v>56.20202797202797</v>
      </c>
      <c r="O53">
        <v>110.13252873563218</v>
      </c>
      <c r="P53">
        <v>36.987132352941174</v>
      </c>
      <c r="Q53" s="54">
        <v>19.284967078948988</v>
      </c>
      <c r="R53">
        <v>41.630591630591631</v>
      </c>
      <c r="S53">
        <v>3.2138513513513511</v>
      </c>
      <c r="V53" s="62">
        <v>18.7</v>
      </c>
      <c r="W53" s="62">
        <v>9.4</v>
      </c>
      <c r="X53" s="62">
        <v>42.2</v>
      </c>
      <c r="Y53" s="89">
        <v>109.4</v>
      </c>
      <c r="Z53">
        <v>14.2</v>
      </c>
      <c r="AA53">
        <v>19.2</v>
      </c>
      <c r="AB53">
        <v>43.3</v>
      </c>
      <c r="AC53" s="90">
        <v>136.5</v>
      </c>
      <c r="AD53" s="62">
        <v>34</v>
      </c>
      <c r="AE53" s="62">
        <v>36.987132352941174</v>
      </c>
      <c r="AF53" s="91">
        <v>0.36984368215371255</v>
      </c>
      <c r="AG53">
        <v>25.092345337326257</v>
      </c>
      <c r="AH53" s="56">
        <v>131.96927097228775</v>
      </c>
      <c r="AI53">
        <v>17.531986121499486</v>
      </c>
    </row>
    <row r="54" spans="1:35">
      <c r="A54" s="65"/>
      <c r="B54" s="66" t="s">
        <v>137</v>
      </c>
      <c r="C54" s="67" t="s">
        <v>153</v>
      </c>
      <c r="D54" s="67"/>
      <c r="E54" s="67"/>
      <c r="F54" s="67"/>
      <c r="G54" s="67"/>
      <c r="H54" s="67">
        <f t="shared" ref="H54:S54" si="0">IFERROR(IF(AVERAGE(H4:H6)=0,"",AVERAGE(H4:H6)),"")</f>
        <v>103.33257907542577</v>
      </c>
      <c r="I54" s="67">
        <f t="shared" si="0"/>
        <v>131.95363295880151</v>
      </c>
      <c r="J54" s="67">
        <f t="shared" si="0"/>
        <v>11.232006990606374</v>
      </c>
      <c r="K54" s="67">
        <f t="shared" si="0"/>
        <v>19.970770308123249</v>
      </c>
      <c r="L54" s="67">
        <f t="shared" si="0"/>
        <v>103.90156329780878</v>
      </c>
      <c r="M54" s="67">
        <f t="shared" si="0"/>
        <v>21.169243876464325</v>
      </c>
      <c r="N54" s="67">
        <f t="shared" si="0"/>
        <v>20.999883449883452</v>
      </c>
      <c r="O54" s="67">
        <f t="shared" si="0"/>
        <v>65.400306513409973</v>
      </c>
      <c r="P54" s="67">
        <f t="shared" si="0"/>
        <v>27.943063725490195</v>
      </c>
      <c r="Q54" s="68">
        <f t="shared" si="0"/>
        <v>17.54112265791186</v>
      </c>
      <c r="R54" s="67">
        <f t="shared" si="0"/>
        <v>37.990227594187992</v>
      </c>
      <c r="S54" s="67">
        <f t="shared" si="0"/>
        <v>6.2621621621621628</v>
      </c>
      <c r="T54" s="67"/>
      <c r="U54" s="67"/>
      <c r="V54" s="67">
        <f t="shared" ref="V54:AI54" si="1">IFERROR(IF(AVERAGE(V4:V6)=0,"",AVERAGE(V4:V6)),"")</f>
        <v>20.62</v>
      </c>
      <c r="W54" s="67">
        <f t="shared" si="1"/>
        <v>16.399999999999999</v>
      </c>
      <c r="X54" s="67">
        <f t="shared" si="1"/>
        <v>29.31</v>
      </c>
      <c r="Y54" s="69">
        <f t="shared" si="1"/>
        <v>129.55333333333331</v>
      </c>
      <c r="Z54" s="67">
        <f t="shared" si="1"/>
        <v>22.193333333333332</v>
      </c>
      <c r="AA54" s="67">
        <f t="shared" si="1"/>
        <v>37.013333333333328</v>
      </c>
      <c r="AB54" s="67">
        <f t="shared" si="1"/>
        <v>51.640000000000008</v>
      </c>
      <c r="AC54" s="67">
        <f t="shared" si="1"/>
        <v>28.070000000000004</v>
      </c>
      <c r="AD54" s="67">
        <f t="shared" si="1"/>
        <v>35.46</v>
      </c>
      <c r="AE54" s="67">
        <f t="shared" si="1"/>
        <v>27.943063725490195</v>
      </c>
      <c r="AF54" s="68">
        <f t="shared" si="1"/>
        <v>5.4819800260529745E-2</v>
      </c>
      <c r="AG54" s="67">
        <f t="shared" si="1"/>
        <v>31.263716661080903</v>
      </c>
      <c r="AH54" s="69">
        <f t="shared" si="1"/>
        <v>311.28247401053028</v>
      </c>
      <c r="AI54" s="67">
        <f t="shared" si="1"/>
        <v>22.270621973413821</v>
      </c>
    </row>
    <row r="55" spans="1:35">
      <c r="A55" s="70"/>
      <c r="B55" s="92" t="s">
        <v>154</v>
      </c>
      <c r="C55" s="72" t="s">
        <v>140</v>
      </c>
      <c r="D55" s="73"/>
      <c r="E55" s="73"/>
      <c r="F55" s="73"/>
      <c r="G55" s="73"/>
      <c r="H55" s="74">
        <f t="shared" ref="H55:S55" si="2">IFERROR(IF(AVERAGE(H4:H6)=0,"",AVERAGE(H4:H5)),"")</f>
        <v>108.48386861313867</v>
      </c>
      <c r="I55" s="74">
        <f t="shared" si="2"/>
        <v>142.7825093632959</v>
      </c>
      <c r="J55" s="74">
        <f t="shared" si="2"/>
        <v>11.409437318603128</v>
      </c>
      <c r="K55" s="74">
        <f t="shared" si="2"/>
        <v>20.905630252100842</v>
      </c>
      <c r="L55" s="74">
        <f t="shared" si="2"/>
        <v>106.73332138317636</v>
      </c>
      <c r="M55" s="74">
        <f t="shared" si="2"/>
        <v>20.464728434504792</v>
      </c>
      <c r="N55" s="74">
        <f t="shared" si="2"/>
        <v>20.867097902097903</v>
      </c>
      <c r="O55" s="74">
        <f t="shared" si="2"/>
        <v>69.357835249042154</v>
      </c>
      <c r="P55" s="74">
        <f t="shared" si="2"/>
        <v>31.385735294117644</v>
      </c>
      <c r="Q55" s="75">
        <f t="shared" si="2"/>
        <v>17.858267545526623</v>
      </c>
      <c r="R55" s="74">
        <f t="shared" si="2"/>
        <v>38.999435657851507</v>
      </c>
      <c r="S55" s="74">
        <f t="shared" si="2"/>
        <v>5.9072635135135139</v>
      </c>
      <c r="T55" s="74"/>
      <c r="U55" s="74"/>
      <c r="V55" s="74">
        <f t="shared" ref="V55:AI55" si="3">IFERROR(IF(AVERAGE(V4:V6)=0,"",AVERAGE(V4:V5)),"")</f>
        <v>24.105</v>
      </c>
      <c r="W55" s="74">
        <f t="shared" si="3"/>
        <v>16.044999999999998</v>
      </c>
      <c r="X55" s="74">
        <f t="shared" si="3"/>
        <v>33.094999999999999</v>
      </c>
      <c r="Y55" s="76">
        <f t="shared" si="3"/>
        <v>142.655</v>
      </c>
      <c r="Z55" s="74">
        <f t="shared" si="3"/>
        <v>21.544999999999998</v>
      </c>
      <c r="AA55" s="74">
        <f t="shared" si="3"/>
        <v>37.064999999999998</v>
      </c>
      <c r="AB55" s="74">
        <f t="shared" si="3"/>
        <v>51.965000000000003</v>
      </c>
      <c r="AC55" s="74">
        <f t="shared" si="3"/>
        <v>28.21</v>
      </c>
      <c r="AD55" s="74">
        <f t="shared" si="3"/>
        <v>37.07</v>
      </c>
      <c r="AE55" s="74">
        <f t="shared" si="3"/>
        <v>31.385735294117644</v>
      </c>
      <c r="AF55" s="75">
        <f t="shared" si="3"/>
        <v>5.6249095382833986E-2</v>
      </c>
      <c r="AG55" s="74">
        <f t="shared" si="3"/>
        <v>31.01253734355349</v>
      </c>
      <c r="AH55" s="76">
        <f t="shared" si="3"/>
        <v>311.69560339579016</v>
      </c>
      <c r="AI55" s="74">
        <f t="shared" si="3"/>
        <v>23.176140313880808</v>
      </c>
    </row>
    <row r="56" spans="1:35">
      <c r="A56" s="70"/>
      <c r="B56" s="93" t="s">
        <v>155</v>
      </c>
      <c r="C56" s="72" t="s">
        <v>156</v>
      </c>
      <c r="D56" s="73"/>
      <c r="E56" s="73"/>
      <c r="F56" s="73"/>
      <c r="G56" s="73"/>
      <c r="H56" s="94">
        <f t="shared" ref="H56:S56" si="4">IFERROR(IF(AVERAGE(H4:H6)=0,"",(MIN(H4:H17))),"")</f>
        <v>51.338613138686135</v>
      </c>
      <c r="I56" s="94">
        <f t="shared" si="4"/>
        <v>64.242958801498119</v>
      </c>
      <c r="J56" s="94">
        <f t="shared" si="4"/>
        <v>7.489935399307182</v>
      </c>
      <c r="K56" s="94">
        <f t="shared" si="4"/>
        <v>11.225567226890757</v>
      </c>
      <c r="L56" s="94">
        <f t="shared" si="4"/>
        <v>75.81204575823746</v>
      </c>
      <c r="M56" s="94">
        <f t="shared" si="4"/>
        <v>13.482172523961662</v>
      </c>
      <c r="N56" s="94">
        <f t="shared" si="4"/>
        <v>17.042832167832167</v>
      </c>
      <c r="O56" s="94">
        <f t="shared" si="4"/>
        <v>34.105747126436782</v>
      </c>
      <c r="P56" s="94">
        <f t="shared" si="4"/>
        <v>17.152977941176474</v>
      </c>
      <c r="Q56" s="75">
        <f t="shared" si="4"/>
        <v>12.106042343095629</v>
      </c>
      <c r="R56" s="94">
        <f t="shared" si="4"/>
        <v>24.708185104224711</v>
      </c>
      <c r="S56" s="94">
        <f t="shared" si="4"/>
        <v>3.3533783783783786</v>
      </c>
      <c r="T56" s="94"/>
      <c r="U56" s="94"/>
      <c r="V56" s="94">
        <f t="shared" ref="V56:AI56" si="5">IFERROR(IF(AVERAGE(V4:V6)=0,"",(MIN(V4:V17))),"")</f>
        <v>6.25</v>
      </c>
      <c r="W56" s="94">
        <f t="shared" si="5"/>
        <v>2.2000000000000002</v>
      </c>
      <c r="X56" s="94">
        <f t="shared" si="5"/>
        <v>12.87</v>
      </c>
      <c r="Y56" s="76">
        <f t="shared" si="5"/>
        <v>83.05</v>
      </c>
      <c r="Z56" s="94">
        <f t="shared" si="5"/>
        <v>8</v>
      </c>
      <c r="AA56" s="94">
        <f t="shared" si="5"/>
        <v>10.8</v>
      </c>
      <c r="AB56" s="94">
        <f t="shared" si="5"/>
        <v>28.2</v>
      </c>
      <c r="AC56" s="94">
        <f t="shared" si="5"/>
        <v>22.5</v>
      </c>
      <c r="AD56" s="94">
        <f t="shared" si="5"/>
        <v>23.71</v>
      </c>
      <c r="AE56" s="94">
        <f t="shared" si="5"/>
        <v>17.152977941176474</v>
      </c>
      <c r="AF56" s="75">
        <f t="shared" si="5"/>
        <v>5.1961210015921265E-2</v>
      </c>
      <c r="AG56" s="74">
        <f t="shared" si="5"/>
        <v>17.07695024343132</v>
      </c>
      <c r="AH56" s="76">
        <f t="shared" si="5"/>
        <v>247.61904761904759</v>
      </c>
      <c r="AI56" s="74">
        <f t="shared" si="5"/>
        <v>14.576379530200239</v>
      </c>
    </row>
    <row r="57" spans="1:35">
      <c r="A57" s="70"/>
      <c r="B57" s="72"/>
      <c r="C57" s="72" t="s">
        <v>157</v>
      </c>
      <c r="D57" s="73"/>
      <c r="E57" s="73"/>
      <c r="F57" s="73"/>
      <c r="G57" s="73"/>
      <c r="H57" s="73">
        <f t="shared" ref="H57:S57" si="6">IFERROR(IF(AVERAGE(H4:H6)=0,"",(-(H56/H55))),"")</f>
        <v>-0.47323730057750196</v>
      </c>
      <c r="I57" s="73">
        <f t="shared" si="6"/>
        <v>-0.44993577356200049</v>
      </c>
      <c r="J57" s="73">
        <f t="shared" si="6"/>
        <v>-0.65646842961263441</v>
      </c>
      <c r="K57" s="73">
        <f t="shared" si="6"/>
        <v>-0.53696382704188894</v>
      </c>
      <c r="L57" s="73">
        <f t="shared" si="6"/>
        <v>-0.71029407476292772</v>
      </c>
      <c r="M57" s="73">
        <f t="shared" si="6"/>
        <v>-0.65880046085683153</v>
      </c>
      <c r="N57" s="73">
        <f t="shared" si="6"/>
        <v>-0.81673226664253784</v>
      </c>
      <c r="O57" s="73">
        <f t="shared" si="6"/>
        <v>-0.49173603824245349</v>
      </c>
      <c r="P57" s="73">
        <f t="shared" si="6"/>
        <v>-0.54652146207297259</v>
      </c>
      <c r="Q57" s="78">
        <f t="shared" si="6"/>
        <v>-0.67789567561541608</v>
      </c>
      <c r="R57" s="73">
        <f t="shared" si="6"/>
        <v>-0.63355237550085852</v>
      </c>
      <c r="S57" s="73">
        <f t="shared" si="6"/>
        <v>-0.56767035543736244</v>
      </c>
      <c r="T57" s="73"/>
      <c r="U57" s="73"/>
      <c r="V57" s="73">
        <f t="shared" ref="V57:AI57" si="7">IFERROR(IF(AVERAGE(V4:V6)=0,"",(-(V56/V55))),"")</f>
        <v>-0.2592823065753993</v>
      </c>
      <c r="W57" s="73">
        <f t="shared" si="7"/>
        <v>-0.13711436584605799</v>
      </c>
      <c r="X57" s="73">
        <f t="shared" si="7"/>
        <v>-0.38888049554313342</v>
      </c>
      <c r="Y57" s="79">
        <f t="shared" si="7"/>
        <v>-0.58217377589288843</v>
      </c>
      <c r="Z57" s="73">
        <f t="shared" si="7"/>
        <v>-0.3713158505453702</v>
      </c>
      <c r="AA57" s="73">
        <f t="shared" si="7"/>
        <v>-0.29138000809388914</v>
      </c>
      <c r="AB57" s="73">
        <f t="shared" si="7"/>
        <v>-0.54267295294910034</v>
      </c>
      <c r="AC57" s="73">
        <f t="shared" si="7"/>
        <v>-0.79758950726692657</v>
      </c>
      <c r="AD57" s="73">
        <f t="shared" si="7"/>
        <v>-0.63960075532775829</v>
      </c>
      <c r="AE57" s="73">
        <f t="shared" si="7"/>
        <v>-0.54652146207297259</v>
      </c>
      <c r="AF57" s="78">
        <f t="shared" si="7"/>
        <v>-0.92376970086844645</v>
      </c>
      <c r="AG57" s="72">
        <f t="shared" si="7"/>
        <v>-0.55064666442009358</v>
      </c>
      <c r="AH57" s="79">
        <f t="shared" si="7"/>
        <v>-0.79442585946463173</v>
      </c>
      <c r="AI57" s="72">
        <f t="shared" si="7"/>
        <v>-0.62893904389550392</v>
      </c>
    </row>
    <row r="58" spans="1:35">
      <c r="B58" t="s">
        <v>144</v>
      </c>
      <c r="V58">
        <v>-104.4</v>
      </c>
      <c r="W58">
        <v>-221.5</v>
      </c>
      <c r="X58">
        <v>-327.60000000000002</v>
      </c>
      <c r="Y58" s="56">
        <v>254.9</v>
      </c>
      <c r="Z58">
        <v>-354.9</v>
      </c>
      <c r="AA58">
        <v>-897.2</v>
      </c>
      <c r="AB58">
        <v>-825.7</v>
      </c>
      <c r="AC58">
        <v>-245</v>
      </c>
      <c r="AD58">
        <v>-186.5</v>
      </c>
      <c r="AE58">
        <v>-320.89999999999998</v>
      </c>
      <c r="AG58">
        <v>-379</v>
      </c>
      <c r="AH58" s="56">
        <v>36.049999999999997</v>
      </c>
      <c r="AI58">
        <v>-152</v>
      </c>
    </row>
    <row r="59" spans="1:35">
      <c r="B59" t="s">
        <v>147</v>
      </c>
      <c r="V59">
        <v>133.69999999999999</v>
      </c>
      <c r="W59">
        <v>154.69999999999999</v>
      </c>
      <c r="X59">
        <v>181.5</v>
      </c>
      <c r="Y59" s="56">
        <v>846.4</v>
      </c>
      <c r="Z59">
        <v>265.7</v>
      </c>
      <c r="AA59">
        <v>1189</v>
      </c>
      <c r="AB59">
        <v>867.6</v>
      </c>
      <c r="AC59">
        <v>80.38</v>
      </c>
      <c r="AD59">
        <v>73.64</v>
      </c>
      <c r="AE59">
        <v>872.9</v>
      </c>
      <c r="AG59">
        <v>115.6</v>
      </c>
      <c r="AH59" s="56">
        <v>0</v>
      </c>
      <c r="AI59">
        <v>183.7</v>
      </c>
    </row>
    <row r="60" spans="1:35">
      <c r="B60" t="s">
        <v>148</v>
      </c>
      <c r="V60">
        <v>345.1</v>
      </c>
      <c r="W60">
        <v>345.2</v>
      </c>
      <c r="X60">
        <v>205.8</v>
      </c>
      <c r="Y60" s="56">
        <v>457.3</v>
      </c>
      <c r="Z60">
        <v>654.1</v>
      </c>
      <c r="AA60">
        <v>1497</v>
      </c>
      <c r="AB60">
        <v>1023</v>
      </c>
      <c r="AC60">
        <v>75.83</v>
      </c>
      <c r="AD60">
        <v>241.5</v>
      </c>
      <c r="AE60">
        <v>1365</v>
      </c>
      <c r="AG60">
        <v>117.4</v>
      </c>
      <c r="AH60" s="56">
        <v>2721</v>
      </c>
      <c r="AI60">
        <v>271.39999999999998</v>
      </c>
    </row>
    <row r="61" spans="1:35">
      <c r="B61" t="s">
        <v>149</v>
      </c>
      <c r="V61">
        <v>66.23</v>
      </c>
      <c r="W61">
        <v>291.7</v>
      </c>
      <c r="X61">
        <v>55.21</v>
      </c>
      <c r="Y61" s="56">
        <v>458.8</v>
      </c>
      <c r="Z61">
        <v>319.39999999999998</v>
      </c>
      <c r="AA61">
        <v>914.9</v>
      </c>
      <c r="AB61">
        <v>1755</v>
      </c>
      <c r="AC61">
        <v>73.3</v>
      </c>
      <c r="AD61">
        <v>152.80000000000001</v>
      </c>
      <c r="AE61">
        <v>491.5</v>
      </c>
      <c r="AG61">
        <v>242.6</v>
      </c>
      <c r="AH61" s="56">
        <v>2111</v>
      </c>
      <c r="AI61">
        <v>500.9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73E-3E83-5C40-B446-7A1B938EDD94}">
  <dimension ref="A1:AH61"/>
  <sheetViews>
    <sheetView topLeftCell="I1" workbookViewId="0">
      <selection activeCell="T10" sqref="T10"/>
    </sheetView>
  </sheetViews>
  <sheetFormatPr defaultColWidth="11" defaultRowHeight="15.95"/>
  <cols>
    <col min="3" max="3" width="36" bestFit="1" customWidth="1"/>
    <col min="4" max="4" width="7.625" customWidth="1"/>
    <col min="5" max="7" width="6.625" customWidth="1"/>
    <col min="17" max="17" width="10.875" style="54" customWidth="1"/>
    <col min="31" max="31" width="11" style="54"/>
    <col min="33" max="33" width="11" style="97"/>
  </cols>
  <sheetData>
    <row r="1" spans="1:34" ht="21.95">
      <c r="A1" s="32" t="s">
        <v>158</v>
      </c>
      <c r="D1" s="33" t="s">
        <v>95</v>
      </c>
      <c r="E1" s="34" t="s">
        <v>96</v>
      </c>
      <c r="F1" s="35"/>
      <c r="H1" s="36" t="s">
        <v>97</v>
      </c>
      <c r="I1" s="36"/>
      <c r="J1" s="36"/>
      <c r="K1" s="36"/>
      <c r="L1" s="36"/>
      <c r="M1" s="36"/>
      <c r="N1" s="36"/>
      <c r="O1" s="36"/>
      <c r="P1" s="36"/>
      <c r="Q1" s="37"/>
      <c r="R1" s="36"/>
      <c r="S1" s="36"/>
      <c r="T1" s="36"/>
      <c r="U1" s="36" t="s">
        <v>98</v>
      </c>
      <c r="V1" s="36"/>
      <c r="W1" s="36"/>
      <c r="X1" s="36"/>
      <c r="Y1" s="36"/>
      <c r="Z1" s="36"/>
      <c r="AA1" s="36"/>
      <c r="AB1" s="36"/>
      <c r="AC1" s="36"/>
      <c r="AD1" s="36"/>
      <c r="AE1" s="37"/>
      <c r="AF1" s="36"/>
      <c r="AG1" s="95"/>
      <c r="AH1" s="95"/>
    </row>
    <row r="2" spans="1:34" ht="21.95">
      <c r="A2" s="32"/>
      <c r="D2" s="40" t="s">
        <v>99</v>
      </c>
      <c r="E2" s="41"/>
      <c r="H2" s="36"/>
      <c r="I2" s="36"/>
      <c r="J2" s="36"/>
      <c r="K2" s="36"/>
      <c r="L2" s="36"/>
      <c r="M2" s="36"/>
      <c r="N2" s="36"/>
      <c r="O2" s="36"/>
      <c r="P2" s="36"/>
      <c r="Q2" s="37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7"/>
      <c r="AF2" s="36"/>
      <c r="AG2" s="95"/>
      <c r="AH2" s="95"/>
    </row>
    <row r="3" spans="1:34" s="51" customFormat="1" ht="51">
      <c r="A3" s="42" t="s">
        <v>61</v>
      </c>
      <c r="B3" s="42" t="s">
        <v>100</v>
      </c>
      <c r="C3" s="42" t="s">
        <v>63</v>
      </c>
      <c r="D3" s="42" t="s">
        <v>101</v>
      </c>
      <c r="E3" s="42" t="s">
        <v>102</v>
      </c>
      <c r="F3" s="43" t="s">
        <v>103</v>
      </c>
      <c r="G3" s="43"/>
      <c r="H3" s="42" t="s">
        <v>104</v>
      </c>
      <c r="I3" s="42" t="s">
        <v>105</v>
      </c>
      <c r="J3" s="42" t="s">
        <v>106</v>
      </c>
      <c r="K3" s="42" t="s">
        <v>107</v>
      </c>
      <c r="L3" s="42" t="s">
        <v>108</v>
      </c>
      <c r="M3" s="44" t="s">
        <v>109</v>
      </c>
      <c r="N3" s="45" t="s">
        <v>110</v>
      </c>
      <c r="O3" s="45" t="s">
        <v>111</v>
      </c>
      <c r="P3" s="45" t="s">
        <v>112</v>
      </c>
      <c r="Q3" s="46" t="s">
        <v>113</v>
      </c>
      <c r="R3" s="45" t="s">
        <v>114</v>
      </c>
      <c r="S3" s="45" t="s">
        <v>115</v>
      </c>
      <c r="T3" s="45"/>
      <c r="U3" s="48" t="s">
        <v>116</v>
      </c>
      <c r="V3" s="48" t="s">
        <v>117</v>
      </c>
      <c r="W3" s="48" t="s">
        <v>118</v>
      </c>
      <c r="X3" s="48" t="s">
        <v>119</v>
      </c>
      <c r="Y3" s="45" t="s">
        <v>120</v>
      </c>
      <c r="Z3" s="45" t="s">
        <v>121</v>
      </c>
      <c r="AA3" s="45" t="s">
        <v>122</v>
      </c>
      <c r="AB3" s="45" t="s">
        <v>123</v>
      </c>
      <c r="AC3" s="45" t="s">
        <v>124</v>
      </c>
      <c r="AD3" s="45" t="s">
        <v>125</v>
      </c>
      <c r="AE3" s="46" t="s">
        <v>126</v>
      </c>
      <c r="AF3" s="45" t="s">
        <v>127</v>
      </c>
      <c r="AG3" s="96" t="s">
        <v>128</v>
      </c>
      <c r="AH3" s="50" t="s">
        <v>129</v>
      </c>
    </row>
    <row r="4" spans="1:34">
      <c r="A4" s="52">
        <v>1</v>
      </c>
      <c r="B4" s="52">
        <v>3</v>
      </c>
      <c r="C4" s="52" t="s">
        <v>68</v>
      </c>
      <c r="D4" s="20"/>
      <c r="E4" s="20"/>
      <c r="F4" s="61" t="s">
        <v>134</v>
      </c>
      <c r="G4" s="53"/>
      <c r="H4" s="52">
        <v>6.2995197238696093E-2</v>
      </c>
      <c r="I4" s="52">
        <v>0.1512125651805207</v>
      </c>
      <c r="J4" s="52">
        <v>3.1567334536424345E-2</v>
      </c>
      <c r="K4" s="52">
        <v>6.28734018577983E-2</v>
      </c>
      <c r="L4">
        <v>8.9835572891224194E-2</v>
      </c>
      <c r="M4">
        <v>2.0058945762691505E-2</v>
      </c>
      <c r="N4" s="52">
        <v>3.1696460505010432E-2</v>
      </c>
      <c r="O4" s="52">
        <v>0.10617675582873544</v>
      </c>
      <c r="P4" s="20">
        <v>9.0632092327007571E-2</v>
      </c>
      <c r="Q4" s="85">
        <v>0.17386628305247295</v>
      </c>
      <c r="R4">
        <v>8.1094394406685394E-2</v>
      </c>
      <c r="S4" s="52">
        <v>1.5063213197604215E-2</v>
      </c>
      <c r="T4" s="52"/>
      <c r="U4" s="52">
        <v>0.15</v>
      </c>
      <c r="V4" s="52">
        <v>0.05</v>
      </c>
      <c r="W4" s="52">
        <v>0.13800000000000001</v>
      </c>
      <c r="X4" s="52">
        <v>0.32100000000000001</v>
      </c>
      <c r="Y4">
        <v>3.5000000000000003E-2</v>
      </c>
      <c r="Z4">
        <v>0.04</v>
      </c>
      <c r="AA4">
        <v>0.20300000000000001</v>
      </c>
      <c r="AB4" s="52">
        <v>0.152</v>
      </c>
      <c r="AC4" s="52">
        <v>0.192</v>
      </c>
      <c r="AD4" s="52"/>
      <c r="AE4" s="54">
        <v>6.1115807269653431E-3</v>
      </c>
      <c r="AF4" s="52">
        <v>7.0465686274509803E-2</v>
      </c>
      <c r="AG4" s="97">
        <v>0.2125887430850282</v>
      </c>
      <c r="AH4">
        <v>4.5554850982878883E-2</v>
      </c>
    </row>
    <row r="5" spans="1:34">
      <c r="A5" s="20">
        <v>2</v>
      </c>
      <c r="B5" s="20">
        <v>6</v>
      </c>
      <c r="C5" s="20" t="s">
        <v>69</v>
      </c>
      <c r="D5" s="20"/>
      <c r="E5" s="20"/>
      <c r="F5" s="61" t="s">
        <v>134</v>
      </c>
      <c r="G5" s="57"/>
      <c r="H5" s="20">
        <v>4.9502882035250523E-2</v>
      </c>
      <c r="I5" s="20">
        <v>0.1239290186384714</v>
      </c>
      <c r="J5" s="20">
        <v>3.4964423698886381E-2</v>
      </c>
      <c r="K5" s="20">
        <v>4.4174075807206364E-2</v>
      </c>
      <c r="L5">
        <v>7.2577967114578243E-2</v>
      </c>
      <c r="M5">
        <v>1.8410206054927963E-2</v>
      </c>
      <c r="N5" s="20">
        <v>4.5921289642929138E-2</v>
      </c>
      <c r="O5" s="20">
        <v>0.13106679947053196</v>
      </c>
      <c r="P5" s="20">
        <v>2.31843642860592E-2</v>
      </c>
      <c r="Q5" s="87">
        <v>0.16410124674612961</v>
      </c>
      <c r="R5">
        <v>7.663288816982182E-2</v>
      </c>
      <c r="S5" s="20">
        <v>1.2901729666621353E-2</v>
      </c>
      <c r="T5" s="20"/>
      <c r="U5" s="20">
        <v>0.128</v>
      </c>
      <c r="V5" s="20">
        <v>2.7E-2</v>
      </c>
      <c r="W5" s="20">
        <v>0.14099999999999999</v>
      </c>
      <c r="X5" s="20">
        <v>0.26100000000000001</v>
      </c>
      <c r="Y5">
        <v>1.9E-2</v>
      </c>
      <c r="Z5">
        <v>2.5000000000000001E-2</v>
      </c>
      <c r="AA5">
        <v>0.14399999999999999</v>
      </c>
      <c r="AB5" s="20">
        <v>0.19</v>
      </c>
      <c r="AC5" s="20">
        <v>0.19</v>
      </c>
      <c r="AD5" s="20"/>
      <c r="AE5" s="54">
        <v>7.0287404902789523E-3</v>
      </c>
      <c r="AF5" s="20">
        <v>6.5614326375711574E-2</v>
      </c>
      <c r="AG5" s="97">
        <v>0.21890071456602536</v>
      </c>
      <c r="AH5">
        <v>4.364933417882054E-2</v>
      </c>
    </row>
    <row r="6" spans="1:34">
      <c r="A6" s="20">
        <v>3</v>
      </c>
      <c r="B6" s="20">
        <v>9</v>
      </c>
      <c r="C6" s="20" t="s">
        <v>69</v>
      </c>
      <c r="D6" s="20"/>
      <c r="E6" s="20"/>
      <c r="F6" s="61" t="s">
        <v>134</v>
      </c>
      <c r="G6" s="57"/>
      <c r="H6" s="20">
        <v>4.8236186857313706E-2</v>
      </c>
      <c r="I6" s="20">
        <v>0.10626996012485793</v>
      </c>
      <c r="J6" s="20">
        <v>5.0776559850352267E-2</v>
      </c>
      <c r="K6" s="20">
        <v>4.6343300039264408E-2</v>
      </c>
      <c r="L6">
        <v>7.4743242271479549E-2</v>
      </c>
      <c r="M6">
        <v>2.1221075137079676E-2</v>
      </c>
      <c r="N6" s="20">
        <v>3.9549743463021612E-2</v>
      </c>
      <c r="O6" s="20">
        <v>9.8316252309869859E-2</v>
      </c>
      <c r="P6" s="20">
        <v>4.6568641653387415E-2</v>
      </c>
      <c r="Q6" s="87">
        <v>0.15998081929031374</v>
      </c>
      <c r="R6">
        <v>7.2741258640240947E-2</v>
      </c>
      <c r="S6" s="20">
        <v>1.650260289637194E-2</v>
      </c>
      <c r="T6" s="20"/>
      <c r="U6" s="20">
        <v>7.9000000000000001E-2</v>
      </c>
      <c r="V6" s="20">
        <v>4.1000000000000002E-2</v>
      </c>
      <c r="W6" s="20">
        <v>9.1999999999999998E-2</v>
      </c>
      <c r="X6" s="20">
        <v>0.21099999999999999</v>
      </c>
      <c r="Y6">
        <v>2.9000000000000001E-2</v>
      </c>
      <c r="Z6">
        <v>3.2000000000000001E-2</v>
      </c>
      <c r="AA6">
        <v>0.17</v>
      </c>
      <c r="AB6" s="20">
        <v>0.16800000000000001</v>
      </c>
      <c r="AC6" s="20">
        <v>0.16600000000000001</v>
      </c>
      <c r="AD6" s="20"/>
      <c r="AE6" s="54">
        <v>6.0693153000845315E-3</v>
      </c>
      <c r="AF6" s="20">
        <v>6.9693232131562297E-2</v>
      </c>
      <c r="AG6" s="97">
        <v>0.21488686795528961</v>
      </c>
      <c r="AH6">
        <v>3.9374128091312625E-2</v>
      </c>
    </row>
    <row r="7" spans="1:34">
      <c r="A7" s="20">
        <v>4</v>
      </c>
      <c r="B7" s="20">
        <v>12</v>
      </c>
      <c r="C7" s="20" t="s">
        <v>70</v>
      </c>
      <c r="D7" s="20"/>
      <c r="E7" s="20"/>
      <c r="F7" s="61" t="s">
        <v>134</v>
      </c>
      <c r="G7" s="57"/>
      <c r="H7" s="20">
        <v>4.0999837258679221E-2</v>
      </c>
      <c r="I7" s="20">
        <v>0.11290965844504988</v>
      </c>
      <c r="J7" s="20">
        <v>6.1113267250572541E-2</v>
      </c>
      <c r="K7" s="20">
        <v>5.0377529999623492E-2</v>
      </c>
      <c r="L7">
        <v>8.5615343223921905E-2</v>
      </c>
      <c r="M7">
        <v>1.8917776216300621E-2</v>
      </c>
      <c r="N7" s="20">
        <v>5.7631861307460709E-2</v>
      </c>
      <c r="O7" s="20">
        <v>0.11803382566871552</v>
      </c>
      <c r="P7" s="20">
        <v>8.1897725626539186E-2</v>
      </c>
      <c r="Q7" s="87">
        <v>0.15761748184682833</v>
      </c>
      <c r="R7">
        <v>7.6670446583989998E-2</v>
      </c>
      <c r="S7" s="20">
        <v>1.5076807433648132E-2</v>
      </c>
      <c r="T7" s="20"/>
      <c r="U7" s="20">
        <v>0.114</v>
      </c>
      <c r="V7" s="20">
        <v>4.4999999999999998E-2</v>
      </c>
      <c r="W7" s="20">
        <v>0.14199999999999999</v>
      </c>
      <c r="X7" s="20">
        <v>0.252</v>
      </c>
      <c r="Y7">
        <v>3.4000000000000002E-2</v>
      </c>
      <c r="Z7">
        <v>4.2999999999999997E-2</v>
      </c>
      <c r="AA7">
        <v>0.21099999999999999</v>
      </c>
      <c r="AB7" s="20">
        <v>0.19500000000000001</v>
      </c>
      <c r="AC7" s="20">
        <v>0.17</v>
      </c>
      <c r="AD7" s="20"/>
      <c r="AE7" s="54">
        <v>1.1200338123415046E-2</v>
      </c>
      <c r="AF7" s="20">
        <v>8.7131562302340287E-2</v>
      </c>
      <c r="AG7" s="97">
        <v>0.21847859067154965</v>
      </c>
      <c r="AH7">
        <v>3.8583386176284082E-2</v>
      </c>
    </row>
    <row r="8" spans="1:34">
      <c r="A8" s="20">
        <v>5</v>
      </c>
      <c r="B8" s="20">
        <v>15</v>
      </c>
      <c r="C8" s="20" t="s">
        <v>70</v>
      </c>
      <c r="D8" s="20"/>
      <c r="E8" s="20"/>
      <c r="F8" s="61" t="s">
        <v>134</v>
      </c>
      <c r="G8" s="57"/>
      <c r="H8" s="20">
        <v>4.9384837807458094E-2</v>
      </c>
      <c r="I8" s="20">
        <v>7.7561878642440865E-2</v>
      </c>
      <c r="J8" s="20">
        <v>7.2625828219786373E-2</v>
      </c>
      <c r="K8" s="20">
        <v>5.3488777370790511E-2</v>
      </c>
      <c r="L8">
        <v>8.1824890460450453E-2</v>
      </c>
      <c r="M8">
        <v>2.1081623215561923E-2</v>
      </c>
      <c r="N8" s="20">
        <v>5.3795771854414455E-2</v>
      </c>
      <c r="O8" s="20">
        <v>0.12694645033615978</v>
      </c>
      <c r="P8" s="20">
        <v>8.9315032111642281E-2</v>
      </c>
      <c r="Q8" s="87">
        <v>0.16719413618303877</v>
      </c>
      <c r="R8">
        <v>7.6572939162591822E-2</v>
      </c>
      <c r="S8" s="20">
        <v>1.5024029811359984E-2</v>
      </c>
      <c r="T8" s="20"/>
      <c r="U8" s="20">
        <v>5.1999999999999998E-2</v>
      </c>
      <c r="V8" s="20">
        <v>0.04</v>
      </c>
      <c r="W8" s="20">
        <v>8.1000000000000003E-2</v>
      </c>
      <c r="X8" s="20">
        <v>0.16900000000000001</v>
      </c>
      <c r="Y8">
        <v>3.4000000000000002E-2</v>
      </c>
      <c r="Z8">
        <v>3.2000000000000001E-2</v>
      </c>
      <c r="AA8">
        <v>0.161</v>
      </c>
      <c r="AB8" s="20">
        <v>0.17499999999999999</v>
      </c>
      <c r="AC8" s="20">
        <v>0.16300000000000001</v>
      </c>
      <c r="AD8" s="20"/>
      <c r="AE8" s="54">
        <v>8.0050718512256983E-3</v>
      </c>
      <c r="AF8" s="20">
        <v>7.6340132827324492E-2</v>
      </c>
      <c r="AG8" s="97">
        <v>0.22692888128597638</v>
      </c>
      <c r="AH8">
        <v>4.3840837032339881E-2</v>
      </c>
    </row>
    <row r="9" spans="1:34">
      <c r="A9" s="20">
        <v>6</v>
      </c>
      <c r="B9" s="20">
        <v>18</v>
      </c>
      <c r="C9" s="20" t="s">
        <v>70</v>
      </c>
      <c r="D9" s="20"/>
      <c r="E9" s="20"/>
      <c r="F9" s="61" t="s">
        <v>134</v>
      </c>
      <c r="G9" s="57"/>
      <c r="H9" s="20">
        <v>2.6619143677878158E-2</v>
      </c>
      <c r="I9" s="20">
        <v>6.3911805568085456E-2</v>
      </c>
      <c r="J9" s="20">
        <v>4.9595811262040865E-2</v>
      </c>
      <c r="K9" s="20">
        <v>5.1389798783341135E-2</v>
      </c>
      <c r="L9">
        <v>6.9571611712982831E-2</v>
      </c>
      <c r="M9">
        <v>1.2671747473109563E-2</v>
      </c>
      <c r="N9" s="20">
        <v>4.4029288784554463E-2</v>
      </c>
      <c r="O9" s="20">
        <v>5.8330602990708108E-2</v>
      </c>
      <c r="P9" s="20">
        <v>7.8587812062388337E-2</v>
      </c>
      <c r="Q9" s="87">
        <v>0.11455336347444856</v>
      </c>
      <c r="R9">
        <v>4.9964247278820671E-2</v>
      </c>
      <c r="S9" s="20">
        <v>1.4270749202338208E-2</v>
      </c>
      <c r="T9" s="20"/>
      <c r="U9" s="20">
        <v>9.7000000000000003E-2</v>
      </c>
      <c r="V9" s="20">
        <v>3.5999999999999997E-2</v>
      </c>
      <c r="W9" s="20">
        <v>9.2999999999999999E-2</v>
      </c>
      <c r="X9" s="20">
        <v>0.27400000000000002</v>
      </c>
      <c r="Y9">
        <v>2.9000000000000001E-2</v>
      </c>
      <c r="Z9">
        <v>1.7000000000000001E-2</v>
      </c>
      <c r="AA9">
        <v>0.12</v>
      </c>
      <c r="AB9" s="20">
        <v>0.159</v>
      </c>
      <c r="AC9" s="20">
        <v>0.14000000000000001</v>
      </c>
      <c r="AD9" s="20"/>
      <c r="AE9" s="54">
        <v>0.12226965342349957</v>
      </c>
      <c r="AF9" s="20">
        <v>4.6452403542061982E-2</v>
      </c>
      <c r="AG9" s="97">
        <v>0.22404669604124966</v>
      </c>
      <c r="AH9">
        <v>3.3945466074825618E-2</v>
      </c>
    </row>
    <row r="10" spans="1:34">
      <c r="A10" s="20">
        <v>7</v>
      </c>
      <c r="B10" s="20">
        <v>21</v>
      </c>
      <c r="C10" s="20" t="s">
        <v>70</v>
      </c>
      <c r="D10" s="20"/>
      <c r="E10" s="20"/>
      <c r="F10" s="61" t="s">
        <v>134</v>
      </c>
      <c r="G10" s="57"/>
      <c r="H10" s="20">
        <v>3.0460614708030714E-2</v>
      </c>
      <c r="I10" s="20">
        <v>6.1898020677336123E-2</v>
      </c>
      <c r="J10" s="20">
        <v>3.990384783482806E-2</v>
      </c>
      <c r="K10" s="20">
        <v>5.1170402164383406E-2</v>
      </c>
      <c r="L10">
        <v>5.8066524664066317E-2</v>
      </c>
      <c r="M10">
        <v>1.7532505750439915E-2</v>
      </c>
      <c r="N10" s="20">
        <v>4.9286898731296214E-2</v>
      </c>
      <c r="O10" s="20">
        <v>8.7372514842142507E-2</v>
      </c>
      <c r="P10" s="20">
        <v>7.3221546187647882E-2</v>
      </c>
      <c r="Q10" s="87">
        <v>0.13585080147965473</v>
      </c>
      <c r="R10">
        <v>5.3897046608547418E-2</v>
      </c>
      <c r="S10" s="20">
        <v>1.6118765643367214E-2</v>
      </c>
      <c r="T10" s="20"/>
      <c r="U10" s="20">
        <v>3.5999999999999997E-2</v>
      </c>
      <c r="V10" s="20">
        <v>3.5000000000000003E-2</v>
      </c>
      <c r="W10" s="20">
        <v>5.3999999999999999E-2</v>
      </c>
      <c r="X10" s="20">
        <v>0.182</v>
      </c>
      <c r="Y10">
        <v>2.8000000000000001E-2</v>
      </c>
      <c r="Z10">
        <v>2.4E-2</v>
      </c>
      <c r="AA10">
        <v>0.125</v>
      </c>
      <c r="AB10" s="20">
        <v>0.17599999999999999</v>
      </c>
      <c r="AC10" s="20">
        <v>0.122</v>
      </c>
      <c r="AD10" s="20"/>
      <c r="AE10" s="54">
        <v>0.10168639053254437</v>
      </c>
      <c r="AF10" s="20">
        <v>3.7466002530044278E-2</v>
      </c>
      <c r="AG10" s="97">
        <v>0.21391974731090743</v>
      </c>
      <c r="AH10">
        <v>3.3534559289790745E-2</v>
      </c>
    </row>
    <row r="11" spans="1:34">
      <c r="A11" s="20">
        <v>8</v>
      </c>
      <c r="B11" s="20">
        <v>24</v>
      </c>
      <c r="C11" s="20" t="s">
        <v>70</v>
      </c>
      <c r="D11" s="20"/>
      <c r="E11" s="20"/>
      <c r="F11" s="61" t="s">
        <v>134</v>
      </c>
      <c r="G11" s="57"/>
      <c r="H11" s="20">
        <v>2.9755471703825934E-2</v>
      </c>
      <c r="I11" s="20">
        <v>7.0082384569583031E-2</v>
      </c>
      <c r="J11" s="20">
        <v>3.4964423698886381E-2</v>
      </c>
      <c r="K11" s="20">
        <v>3.8210941323909869E-2</v>
      </c>
      <c r="L11">
        <v>5.8496847095931101E-2</v>
      </c>
      <c r="M11">
        <v>1.709772444732717E-2</v>
      </c>
      <c r="N11" s="20">
        <v>5.1246138939647162E-2</v>
      </c>
      <c r="O11" s="20">
        <v>8.4523085592964897E-2</v>
      </c>
      <c r="P11" s="20">
        <v>4.0605533825872814E-2</v>
      </c>
      <c r="Q11" s="87">
        <v>0.11942046855733662</v>
      </c>
      <c r="R11">
        <v>5.4950849036843358E-2</v>
      </c>
      <c r="S11" s="20">
        <v>1.3292763868119917E-2</v>
      </c>
      <c r="T11" s="20"/>
      <c r="U11" s="20">
        <v>7.6999999999999999E-2</v>
      </c>
      <c r="V11" s="20">
        <v>0.02</v>
      </c>
      <c r="W11" s="20">
        <v>8.1000000000000003E-2</v>
      </c>
      <c r="X11" s="20">
        <v>0.23499999999999999</v>
      </c>
      <c r="Y11">
        <v>1.4E-2</v>
      </c>
      <c r="Z11">
        <v>1.4E-2</v>
      </c>
      <c r="AA11">
        <v>9.4E-2</v>
      </c>
      <c r="AB11" s="20">
        <v>0.16700000000000001</v>
      </c>
      <c r="AC11" s="20">
        <v>0.14399999999999999</v>
      </c>
      <c r="AD11" s="20"/>
      <c r="AE11" s="54">
        <v>8.8837700760777696E-2</v>
      </c>
      <c r="AF11" s="20">
        <v>4.4548545224541429E-2</v>
      </c>
      <c r="AG11" s="97">
        <v>0.20576397275073069</v>
      </c>
      <c r="AH11">
        <v>3.2084337349397592E-2</v>
      </c>
    </row>
    <row r="12" spans="1:34">
      <c r="A12" s="20">
        <v>9</v>
      </c>
      <c r="B12" s="20">
        <v>27</v>
      </c>
      <c r="C12" s="20" t="s">
        <v>70</v>
      </c>
      <c r="D12" s="20"/>
      <c r="E12" s="20"/>
      <c r="F12" s="61" t="s">
        <v>134</v>
      </c>
      <c r="G12" s="57"/>
      <c r="H12" s="20">
        <v>4.0733244267153121E-2</v>
      </c>
      <c r="I12" s="20">
        <v>8.115049708604731E-2</v>
      </c>
      <c r="J12" s="20">
        <v>3.8742154857432563E-2</v>
      </c>
      <c r="K12" s="20">
        <v>4.2926973574513631E-2</v>
      </c>
      <c r="L12">
        <v>6.130812663193471E-2</v>
      </c>
      <c r="M12">
        <v>2.3916635136839448E-2</v>
      </c>
      <c r="N12" s="20">
        <v>4.4064339084010168E-2</v>
      </c>
      <c r="O12" s="20">
        <v>7.0809339082342757E-2</v>
      </c>
      <c r="P12" s="20">
        <v>5.9284127673958187E-2</v>
      </c>
      <c r="Q12" s="87">
        <v>0.13969721879709551</v>
      </c>
      <c r="R12">
        <v>5.8268268195968247E-2</v>
      </c>
      <c r="S12" s="20">
        <v>1.8951964367108345E-2</v>
      </c>
      <c r="T12" s="20"/>
      <c r="U12" s="20">
        <v>8.3000000000000004E-2</v>
      </c>
      <c r="V12" s="20">
        <v>3.1E-2</v>
      </c>
      <c r="W12" s="20">
        <v>0.105</v>
      </c>
      <c r="X12" s="20">
        <v>0.26300000000000001</v>
      </c>
      <c r="Y12">
        <v>2.1000000000000001E-2</v>
      </c>
      <c r="Z12">
        <v>1.9E-2</v>
      </c>
      <c r="AA12">
        <v>0.13</v>
      </c>
      <c r="AB12" s="20">
        <v>0.19900000000000001</v>
      </c>
      <c r="AC12" s="20">
        <v>0.156</v>
      </c>
      <c r="AD12" s="20"/>
      <c r="AE12" s="54">
        <v>9.8055790363482664E-2</v>
      </c>
      <c r="AF12" s="20">
        <v>6.2844718532574326E-2</v>
      </c>
      <c r="AG12" s="97">
        <v>0.2065845456157071</v>
      </c>
      <c r="AH12">
        <v>3.8384908053265693E-2</v>
      </c>
    </row>
    <row r="13" spans="1:34">
      <c r="A13" s="20">
        <v>10</v>
      </c>
      <c r="B13" s="20">
        <v>30</v>
      </c>
      <c r="C13" s="20" t="s">
        <v>70</v>
      </c>
      <c r="D13" s="20"/>
      <c r="E13" s="20"/>
      <c r="F13" s="61" t="s">
        <v>134</v>
      </c>
      <c r="G13" s="57"/>
      <c r="H13" s="20">
        <v>4.5990981103083382E-2</v>
      </c>
      <c r="I13" s="20">
        <v>8.8074301282860909E-2</v>
      </c>
      <c r="J13" s="20">
        <v>3.4964423698886381E-2</v>
      </c>
      <c r="K13" s="20">
        <v>2.8740311641091015E-2</v>
      </c>
      <c r="L13">
        <v>5.7680687563696598E-2</v>
      </c>
      <c r="M13">
        <v>2.5219657796275278E-2</v>
      </c>
      <c r="N13" s="20">
        <v>4.387270043373933E-2</v>
      </c>
      <c r="O13" s="20">
        <v>7.9973657654351729E-2</v>
      </c>
      <c r="P13" s="20">
        <v>1.9415230093196196E-2</v>
      </c>
      <c r="Q13" s="87">
        <v>0.1305418550486368</v>
      </c>
      <c r="R13">
        <v>6.1151598760572343E-2</v>
      </c>
      <c r="S13" s="20">
        <v>1.3148025237299386E-2</v>
      </c>
      <c r="T13" s="20"/>
      <c r="U13" s="20">
        <v>0.1</v>
      </c>
      <c r="V13" s="20">
        <v>5.0000000000000001E-3</v>
      </c>
      <c r="W13" s="20">
        <v>0.115</v>
      </c>
      <c r="X13" s="20">
        <v>0.30199999999999999</v>
      </c>
      <c r="Y13">
        <v>0.01</v>
      </c>
      <c r="Z13">
        <v>8.9999999999999993E-3</v>
      </c>
      <c r="AA13">
        <v>9.5000000000000001E-2</v>
      </c>
      <c r="AB13" s="20">
        <v>0.17499999999999999</v>
      </c>
      <c r="AC13" s="20">
        <v>0.17199999999999999</v>
      </c>
      <c r="AD13" s="20"/>
      <c r="AE13" s="54">
        <v>0.10936601859678782</v>
      </c>
      <c r="AF13" s="20">
        <v>5.5128083491461102E-2</v>
      </c>
      <c r="AG13" s="97">
        <v>0.21122625121026209</v>
      </c>
      <c r="AH13">
        <v>3.14571972098922E-2</v>
      </c>
    </row>
    <row r="14" spans="1:34">
      <c r="A14" s="20">
        <v>11</v>
      </c>
      <c r="B14" s="20">
        <v>33</v>
      </c>
      <c r="C14" s="20" t="s">
        <v>70</v>
      </c>
      <c r="D14" s="20"/>
      <c r="E14" s="20"/>
      <c r="F14" s="61" t="s">
        <v>134</v>
      </c>
      <c r="G14" s="57"/>
      <c r="H14" s="20">
        <v>4.2471586500796681E-2</v>
      </c>
      <c r="I14" s="20">
        <v>8.4022806416108833E-2</v>
      </c>
      <c r="J14" s="20">
        <v>4.9072743483505536E-2</v>
      </c>
      <c r="K14" s="20">
        <v>5.3313485980453851E-2</v>
      </c>
      <c r="L14">
        <v>7.5486722591555713E-2</v>
      </c>
      <c r="M14">
        <v>2.5670173984589421E-2</v>
      </c>
      <c r="N14" s="20">
        <v>3.7758211459301985E-2</v>
      </c>
      <c r="O14" s="20">
        <v>6.5898391937407444E-2</v>
      </c>
      <c r="P14" s="20">
        <v>8.6469892317349958E-2</v>
      </c>
      <c r="Q14" s="87">
        <v>0.13475476092615429</v>
      </c>
      <c r="R14">
        <v>5.9267177557402982E-2</v>
      </c>
      <c r="S14" s="20">
        <v>9.6918906383693295E-3</v>
      </c>
      <c r="T14" s="20"/>
      <c r="U14" s="20">
        <v>8.8999999999999996E-2</v>
      </c>
      <c r="V14" s="20">
        <v>4.2000000000000003E-2</v>
      </c>
      <c r="W14" s="20">
        <v>0.122</v>
      </c>
      <c r="X14" s="20">
        <v>0.307</v>
      </c>
      <c r="Y14">
        <v>2.5999999999999999E-2</v>
      </c>
      <c r="Z14">
        <v>2.1000000000000001E-2</v>
      </c>
      <c r="AA14">
        <v>0.153</v>
      </c>
      <c r="AB14" s="20">
        <v>0.13600000000000001</v>
      </c>
      <c r="AC14" s="20">
        <v>0.13500000000000001</v>
      </c>
      <c r="AD14" s="20"/>
      <c r="AE14" s="54">
        <v>0.12007185122569737</v>
      </c>
      <c r="AF14" s="20">
        <v>4.9820524984187216E-2</v>
      </c>
      <c r="AG14" s="97">
        <v>0.19170438239888724</v>
      </c>
      <c r="AH14">
        <v>2.955485098287888E-2</v>
      </c>
    </row>
    <row r="15" spans="1:34">
      <c r="A15" s="20">
        <v>12</v>
      </c>
      <c r="B15" s="20">
        <v>36</v>
      </c>
      <c r="C15" s="20" t="s">
        <v>70</v>
      </c>
      <c r="D15" s="20"/>
      <c r="E15" s="20"/>
      <c r="F15" s="61" t="s">
        <v>134</v>
      </c>
      <c r="G15" s="57"/>
      <c r="H15" s="20">
        <v>4.6273318371224309E-2</v>
      </c>
      <c r="I15" s="20">
        <v>7.635180340291936E-2</v>
      </c>
      <c r="J15" s="20">
        <v>3.4964423698886381E-2</v>
      </c>
      <c r="K15" s="20">
        <v>3.4765032083864479E-2</v>
      </c>
      <c r="L15">
        <v>6.626546386000759E-2</v>
      </c>
      <c r="M15">
        <v>2.5902653910599427E-2</v>
      </c>
      <c r="N15" s="20">
        <v>5.3316967856469347E-2</v>
      </c>
      <c r="O15" s="20">
        <v>9.8897749760821982E-2</v>
      </c>
      <c r="P15" s="20">
        <v>2.6026365348399246E-2</v>
      </c>
      <c r="Q15" s="87">
        <v>0.153116865324017</v>
      </c>
      <c r="R15">
        <v>6.228051801720464E-2</v>
      </c>
      <c r="S15" s="20">
        <v>7.9374345277602298E-3</v>
      </c>
      <c r="T15" s="20"/>
      <c r="U15" s="20">
        <v>7.4999999999999997E-2</v>
      </c>
      <c r="V15" s="20">
        <v>1.0999999999999999E-2</v>
      </c>
      <c r="W15" s="20">
        <v>0.111</v>
      </c>
      <c r="X15" s="20">
        <v>0.23699999999999999</v>
      </c>
      <c r="Y15">
        <v>2.1000000000000001E-2</v>
      </c>
      <c r="Z15">
        <v>1.2999999999999999E-2</v>
      </c>
      <c r="AA15">
        <v>0.115</v>
      </c>
      <c r="AB15" s="20">
        <v>0.161</v>
      </c>
      <c r="AC15" s="20">
        <v>0.15</v>
      </c>
      <c r="AD15" s="20"/>
      <c r="AE15" s="54">
        <v>0.13740490278951817</v>
      </c>
      <c r="AF15" s="20">
        <v>5.2435167615433265E-2</v>
      </c>
      <c r="AG15" s="97">
        <v>0.18985892207502944</v>
      </c>
      <c r="AH15">
        <v>2.8051997463538366E-2</v>
      </c>
    </row>
    <row r="16" spans="1:34">
      <c r="A16" s="20">
        <v>13</v>
      </c>
      <c r="B16" s="20">
        <v>39</v>
      </c>
      <c r="C16" s="20" t="s">
        <v>70</v>
      </c>
      <c r="D16" s="20"/>
      <c r="E16" s="20"/>
      <c r="F16" s="61" t="s">
        <v>134</v>
      </c>
      <c r="G16" s="57"/>
      <c r="H16" s="20">
        <v>5.3054938442149244E-2</v>
      </c>
      <c r="I16" s="20">
        <v>7.0869350269743614E-2</v>
      </c>
      <c r="J16" s="20">
        <v>3.4964423698886381E-2</v>
      </c>
      <c r="K16" s="20">
        <v>4.5676181562938699E-2</v>
      </c>
      <c r="L16">
        <v>6.3552032215910076E-2</v>
      </c>
      <c r="M16">
        <v>2.2710454089568736E-2</v>
      </c>
      <c r="N16" s="20">
        <v>4.357909727596096E-2</v>
      </c>
      <c r="O16" s="20">
        <v>8.8244892075016707E-2</v>
      </c>
      <c r="P16" s="20">
        <v>5.4959437925539624E-2</v>
      </c>
      <c r="Q16" s="87">
        <v>0.15267502397588711</v>
      </c>
      <c r="R16">
        <v>6.4856880773703343E-2</v>
      </c>
      <c r="S16" s="20">
        <v>1.6880042861826587E-2</v>
      </c>
      <c r="T16" s="20"/>
      <c r="U16" s="20">
        <v>4.7E-2</v>
      </c>
      <c r="V16" s="20">
        <v>3.3000000000000002E-2</v>
      </c>
      <c r="W16" s="20">
        <v>9.0999999999999998E-2</v>
      </c>
      <c r="X16" s="20">
        <v>0.218</v>
      </c>
      <c r="Y16">
        <v>2.3E-2</v>
      </c>
      <c r="Z16">
        <v>0.02</v>
      </c>
      <c r="AA16">
        <v>0.14000000000000001</v>
      </c>
      <c r="AB16" s="20">
        <v>0.151</v>
      </c>
      <c r="AC16" s="20">
        <v>0.14000000000000001</v>
      </c>
      <c r="AD16" s="20"/>
      <c r="AE16" s="54">
        <v>0.13041842772612006</v>
      </c>
      <c r="AF16" s="20">
        <v>4.8122232764073375E-2</v>
      </c>
      <c r="AG16" s="97">
        <v>0.17139319162218306</v>
      </c>
      <c r="AH16">
        <v>3.0404565630944833E-2</v>
      </c>
    </row>
    <row r="17" spans="1:34">
      <c r="A17" s="20">
        <v>14</v>
      </c>
      <c r="B17" s="20">
        <v>42</v>
      </c>
      <c r="C17" s="20" t="s">
        <v>69</v>
      </c>
      <c r="D17" s="20"/>
      <c r="E17" s="20"/>
      <c r="F17" s="61" t="s">
        <v>134</v>
      </c>
      <c r="G17" s="57"/>
      <c r="H17" s="20">
        <v>4.5793969487894694E-2</v>
      </c>
      <c r="I17" s="20">
        <v>7.7473142919004742E-2</v>
      </c>
      <c r="J17" s="20">
        <v>3.6046572612366913E-2</v>
      </c>
      <c r="K17" s="20">
        <v>5.9621394263093062E-2</v>
      </c>
      <c r="L17">
        <v>6.4494208723985147E-2</v>
      </c>
      <c r="M17">
        <v>2.2945306259721698E-2</v>
      </c>
      <c r="N17" s="20">
        <v>5.9584338563783097E-2</v>
      </c>
      <c r="O17" s="20">
        <v>8.7217606122957161E-2</v>
      </c>
      <c r="P17" s="20">
        <v>6.7079047757013857E-2</v>
      </c>
      <c r="Q17" s="87">
        <v>0.1258391560487738</v>
      </c>
      <c r="R17">
        <v>6.3381268463210808E-2</v>
      </c>
      <c r="S17" s="20">
        <v>1.8365013234388619E-2</v>
      </c>
      <c r="T17" s="20"/>
      <c r="U17" s="20">
        <v>8.4000000000000005E-2</v>
      </c>
      <c r="V17" s="20">
        <v>3.4000000000000002E-2</v>
      </c>
      <c r="W17" s="20">
        <v>0.106</v>
      </c>
      <c r="X17" s="20">
        <v>0.27400000000000002</v>
      </c>
      <c r="Y17">
        <v>2.9000000000000001E-2</v>
      </c>
      <c r="Z17">
        <v>2.5999999999999999E-2</v>
      </c>
      <c r="AA17">
        <v>0.17499999999999999</v>
      </c>
      <c r="AB17" s="20">
        <v>0.154</v>
      </c>
      <c r="AC17" s="20">
        <v>0.14199999999999999</v>
      </c>
      <c r="AD17" s="20"/>
      <c r="AE17" s="54">
        <v>0.14541420118343196</v>
      </c>
      <c r="AF17" s="20">
        <v>4.5519449715370017E-2</v>
      </c>
      <c r="AG17" s="97">
        <v>0.18915080509893467</v>
      </c>
      <c r="AH17">
        <v>3.4150919467343055E-2</v>
      </c>
    </row>
    <row r="18" spans="1:34">
      <c r="A18" s="20">
        <v>15</v>
      </c>
      <c r="B18" s="20">
        <v>45</v>
      </c>
      <c r="C18" s="20" t="s">
        <v>69</v>
      </c>
      <c r="D18" s="20"/>
      <c r="E18" s="20"/>
      <c r="F18" s="57"/>
      <c r="G18" s="57"/>
      <c r="H18" s="20">
        <v>4.4352781551946656E-2</v>
      </c>
      <c r="I18" s="20">
        <v>6.1535138841275282E-2</v>
      </c>
      <c r="J18" s="20">
        <v>4.2194192409223619E-2</v>
      </c>
      <c r="K18" s="20">
        <v>6.7065818985687309E-2</v>
      </c>
      <c r="L18">
        <v>8.1910959906169173E-2</v>
      </c>
      <c r="M18">
        <v>2.2054903939126413E-2</v>
      </c>
      <c r="N18" s="20">
        <v>8.0843808322332691E-2</v>
      </c>
      <c r="O18" s="20">
        <v>0.12759694900593685</v>
      </c>
      <c r="P18" s="20">
        <v>8.416702882804579E-2</v>
      </c>
      <c r="Q18" s="87">
        <v>0.14893478558706671</v>
      </c>
      <c r="R18">
        <v>7.1714902745375619E-2</v>
      </c>
      <c r="S18" s="20">
        <v>1.6185137501699278E-2</v>
      </c>
      <c r="T18" s="20"/>
      <c r="U18" s="20">
        <v>0.04</v>
      </c>
      <c r="V18" s="20">
        <v>3.5999999999999997E-2</v>
      </c>
      <c r="W18" s="20">
        <v>9.0999999999999998E-2</v>
      </c>
      <c r="X18" s="20">
        <v>0.20200000000000001</v>
      </c>
      <c r="Y18">
        <v>3.6999999999999998E-2</v>
      </c>
      <c r="Z18">
        <v>2.5000000000000001E-2</v>
      </c>
      <c r="AA18">
        <v>0.153</v>
      </c>
      <c r="AB18" s="20">
        <v>0.16600000000000001</v>
      </c>
      <c r="AC18" s="20">
        <v>0.151</v>
      </c>
      <c r="AD18" s="20"/>
      <c r="AE18" s="54">
        <v>0.14323330515638208</v>
      </c>
      <c r="AF18" s="20">
        <v>4.3717583807716627E-2</v>
      </c>
      <c r="AG18" s="97">
        <v>0.21307289528031867</v>
      </c>
      <c r="AH18">
        <v>3.2500317057704502E-2</v>
      </c>
    </row>
    <row r="19" spans="1:34">
      <c r="A19" s="20">
        <v>16</v>
      </c>
      <c r="B19" s="20">
        <v>48</v>
      </c>
      <c r="C19" s="20" t="s">
        <v>69</v>
      </c>
      <c r="D19" s="20"/>
      <c r="E19" s="20"/>
      <c r="F19" s="57"/>
      <c r="G19" s="57"/>
      <c r="H19" s="20">
        <v>4.1897374566180839E-2</v>
      </c>
      <c r="I19" s="20">
        <v>0.10293733648485287</v>
      </c>
      <c r="J19" s="20">
        <v>5.6387825387668039E-2</v>
      </c>
      <c r="K19" s="20">
        <v>7.8528068675068174E-2</v>
      </c>
      <c r="L19">
        <v>8.5724225660150921E-2</v>
      </c>
      <c r="M19">
        <v>1.7180092367379541E-2</v>
      </c>
      <c r="N19" s="20">
        <v>9.1175973312350833E-2</v>
      </c>
      <c r="O19" s="20">
        <v>0.16531807399446943</v>
      </c>
      <c r="P19" s="20">
        <v>0.10386909073349751</v>
      </c>
      <c r="Q19" s="87">
        <v>0.17701739964378682</v>
      </c>
      <c r="R19">
        <v>7.1051130002672422E-2</v>
      </c>
      <c r="S19" s="20">
        <v>1.3728579082469033E-2</v>
      </c>
      <c r="T19" s="20"/>
      <c r="U19" s="20">
        <v>0.11799999999999999</v>
      </c>
      <c r="V19" s="20">
        <v>5.5E-2</v>
      </c>
      <c r="W19" s="20">
        <v>0.20300000000000001</v>
      </c>
      <c r="X19" s="20">
        <v>0.35299999999999998</v>
      </c>
      <c r="Y19">
        <v>5.2999999999999999E-2</v>
      </c>
      <c r="Z19">
        <v>4.3999999999999997E-2</v>
      </c>
      <c r="AA19">
        <v>0.22800000000000001</v>
      </c>
      <c r="AB19" s="20">
        <v>0.17199999999999999</v>
      </c>
      <c r="AC19" s="20">
        <v>0.153</v>
      </c>
      <c r="AD19" s="20"/>
      <c r="AE19" s="54">
        <v>0.12934488588334742</v>
      </c>
      <c r="AF19" s="20">
        <v>5.1710151802656548E-2</v>
      </c>
      <c r="AG19" s="97">
        <v>0.19124319487985258</v>
      </c>
      <c r="AH19">
        <v>4.1137603043753961E-2</v>
      </c>
    </row>
    <row r="20" spans="1:34">
      <c r="A20" s="20">
        <v>17</v>
      </c>
      <c r="B20" s="20">
        <v>51</v>
      </c>
      <c r="C20" s="20" t="s">
        <v>69</v>
      </c>
      <c r="D20" s="20"/>
      <c r="E20" s="20"/>
      <c r="F20" s="57"/>
      <c r="G20" s="57"/>
      <c r="H20" s="20">
        <v>7.4434682067798796E-2</v>
      </c>
      <c r="I20" s="20">
        <v>8.3821590314490366E-2</v>
      </c>
      <c r="J20" s="20">
        <v>4.8307547070855411E-2</v>
      </c>
      <c r="K20" s="20">
        <v>6.7160752800950949E-2</v>
      </c>
      <c r="L20">
        <v>8.7243471641221093E-2</v>
      </c>
      <c r="M20">
        <v>2.7208919637977527E-2</v>
      </c>
      <c r="N20" s="20">
        <v>9.3851176038340728E-2</v>
      </c>
      <c r="O20" s="20">
        <v>0.19191060639817567</v>
      </c>
      <c r="P20" s="20">
        <v>8.2664059104737064E-2</v>
      </c>
      <c r="Q20" s="87">
        <v>0.1582134538977942</v>
      </c>
      <c r="R20">
        <v>8.5389054611378745E-2</v>
      </c>
      <c r="S20" s="20">
        <v>1.7727683462212023E-2</v>
      </c>
      <c r="T20" s="20"/>
      <c r="U20" s="20">
        <v>7.1999999999999995E-2</v>
      </c>
      <c r="V20" s="20">
        <v>4.7E-2</v>
      </c>
      <c r="W20" s="20">
        <v>0.13600000000000001</v>
      </c>
      <c r="X20" s="20">
        <v>0.216</v>
      </c>
      <c r="Y20">
        <v>4.2000000000000003E-2</v>
      </c>
      <c r="Z20">
        <v>4.3999999999999997E-2</v>
      </c>
      <c r="AA20">
        <v>0.222</v>
      </c>
      <c r="AB20" s="20">
        <v>0.219</v>
      </c>
      <c r="AC20" s="20">
        <v>0.17799999999999999</v>
      </c>
      <c r="AD20" s="20"/>
      <c r="AE20" s="54">
        <v>0.10220202874049028</v>
      </c>
      <c r="AF20" s="20">
        <v>6.0030834914611017E-2</v>
      </c>
      <c r="AG20" s="97">
        <v>0.18807217556262981</v>
      </c>
      <c r="AH20">
        <v>4.5743817374762206E-2</v>
      </c>
    </row>
    <row r="21" spans="1:34">
      <c r="A21" s="20">
        <v>18</v>
      </c>
      <c r="B21" s="20">
        <v>54</v>
      </c>
      <c r="C21" s="20" t="s">
        <v>69</v>
      </c>
      <c r="D21" s="20"/>
      <c r="E21" s="20"/>
      <c r="F21" s="57"/>
      <c r="G21" s="57"/>
      <c r="H21" s="20">
        <v>6.0680883193363185E-2</v>
      </c>
      <c r="I21" s="20">
        <v>0.103015282463959</v>
      </c>
      <c r="J21" s="20">
        <v>3.4964423698886381E-2</v>
      </c>
      <c r="K21" s="20">
        <v>5.7945180428035863E-2</v>
      </c>
      <c r="L21">
        <v>7.8562707207665172E-2</v>
      </c>
      <c r="M21">
        <v>2.2934616146874948E-2</v>
      </c>
      <c r="N21" s="20">
        <v>0.10879638962407093</v>
      </c>
      <c r="O21" s="20">
        <v>0.18311409774189746</v>
      </c>
      <c r="P21" s="20">
        <v>4.8591433676179435E-2</v>
      </c>
      <c r="Q21" s="87">
        <v>0.16576928346348815</v>
      </c>
      <c r="R21">
        <v>8.2298430491654084E-2</v>
      </c>
      <c r="S21" s="20">
        <v>1.7626126522354523E-2</v>
      </c>
      <c r="T21" s="20"/>
      <c r="U21" s="20">
        <v>9.9000000000000005E-2</v>
      </c>
      <c r="V21" s="20">
        <v>3.5999999999999997E-2</v>
      </c>
      <c r="W21" s="20">
        <v>0.14499999999999999</v>
      </c>
      <c r="X21" s="20">
        <v>0.28499999999999998</v>
      </c>
      <c r="Y21">
        <v>3.9E-2</v>
      </c>
      <c r="Z21">
        <v>3.5000000000000003E-2</v>
      </c>
      <c r="AA21">
        <v>0.17199999999999999</v>
      </c>
      <c r="AB21" s="20">
        <v>0.17799999999999999</v>
      </c>
      <c r="AC21" s="20">
        <v>0.19700000000000001</v>
      </c>
      <c r="AD21" s="20"/>
      <c r="AE21" s="54">
        <v>7.1335587489433638E-2</v>
      </c>
      <c r="AF21" s="20">
        <v>4.8009171410499686E-2</v>
      </c>
      <c r="AG21" s="97">
        <v>0.2042733995372594</v>
      </c>
      <c r="AH21">
        <v>3.8186429930247304E-2</v>
      </c>
    </row>
    <row r="22" spans="1:34">
      <c r="A22" s="20">
        <v>19</v>
      </c>
      <c r="B22" s="20">
        <v>57</v>
      </c>
      <c r="C22" s="20" t="s">
        <v>69</v>
      </c>
      <c r="D22" s="20"/>
      <c r="E22" s="20"/>
      <c r="F22" s="57"/>
      <c r="G22" s="57"/>
      <c r="H22" s="20">
        <v>5.1922883322042368E-2</v>
      </c>
      <c r="I22" s="20">
        <v>0.10617505367807586</v>
      </c>
      <c r="J22" s="20">
        <v>4.279837765074037E-2</v>
      </c>
      <c r="K22" s="20">
        <v>5.5998687600514206E-2</v>
      </c>
      <c r="L22">
        <v>8.0765202254518581E-2</v>
      </c>
      <c r="M22">
        <v>2.0721312361493976E-2</v>
      </c>
      <c r="N22" s="20">
        <v>6.9989920600342051E-2</v>
      </c>
      <c r="O22" s="20">
        <v>0.15087434307956435</v>
      </c>
      <c r="P22" s="20">
        <v>8.6508522864455067E-2</v>
      </c>
      <c r="Q22" s="87">
        <v>0.16166255651459102</v>
      </c>
      <c r="R22">
        <v>7.8093332659207954E-2</v>
      </c>
      <c r="S22" s="20">
        <v>9.8782116382653742E-3</v>
      </c>
      <c r="T22" s="20"/>
      <c r="U22" s="20">
        <v>0.113</v>
      </c>
      <c r="V22" s="20">
        <v>4.2999999999999997E-2</v>
      </c>
      <c r="W22" s="20">
        <v>0.17299999999999999</v>
      </c>
      <c r="X22" s="20">
        <v>0.29399999999999998</v>
      </c>
      <c r="Y22">
        <v>4.8000000000000001E-2</v>
      </c>
      <c r="Z22">
        <v>0.04</v>
      </c>
      <c r="AA22">
        <v>0.20599999999999999</v>
      </c>
      <c r="AB22" s="20">
        <v>0.21</v>
      </c>
      <c r="AC22" s="20">
        <v>0.16500000000000001</v>
      </c>
      <c r="AD22" s="20"/>
      <c r="AE22" s="54">
        <v>5.1479289940828399E-2</v>
      </c>
      <c r="AF22" s="20">
        <v>4.5944813409234661E-2</v>
      </c>
      <c r="AG22" s="97">
        <v>0.19535623942204394</v>
      </c>
      <c r="AH22">
        <v>3.4967660114140778E-2</v>
      </c>
    </row>
    <row r="23" spans="1:34">
      <c r="A23" s="20">
        <v>20</v>
      </c>
      <c r="B23" s="20">
        <v>60</v>
      </c>
      <c r="C23" s="20" t="s">
        <v>69</v>
      </c>
      <c r="D23" s="20"/>
      <c r="E23" s="20"/>
      <c r="F23" s="57"/>
      <c r="G23" s="57"/>
      <c r="H23" s="20">
        <v>5.4421492451451982E-2</v>
      </c>
      <c r="I23" s="20">
        <v>0.10698504231095393</v>
      </c>
      <c r="J23" s="20">
        <v>3.4964423698886381E-2</v>
      </c>
      <c r="K23" s="20">
        <v>4.1644802306380735E-2</v>
      </c>
      <c r="L23">
        <v>6.6383173931694933E-2</v>
      </c>
      <c r="M23">
        <v>2.6747713336816629E-2</v>
      </c>
      <c r="N23" s="20">
        <v>9.8665877655596645E-2</v>
      </c>
      <c r="O23" s="20">
        <v>0.17054008361401254</v>
      </c>
      <c r="P23" s="20">
        <v>2.1208411801632143E-2</v>
      </c>
      <c r="Q23" s="87">
        <v>0.18579599945197972</v>
      </c>
      <c r="R23">
        <v>8.5908371914973525E-2</v>
      </c>
      <c r="S23" s="20">
        <v>1.21340551606119E-2</v>
      </c>
      <c r="T23" s="20"/>
      <c r="U23" s="20">
        <v>0.109</v>
      </c>
      <c r="V23" s="20">
        <v>2.1999999999999999E-2</v>
      </c>
      <c r="W23" s="20">
        <v>0.17799999999999999</v>
      </c>
      <c r="X23" s="20">
        <v>0.28899999999999998</v>
      </c>
      <c r="Y23">
        <v>2.1999999999999999E-2</v>
      </c>
      <c r="Z23">
        <v>2.8000000000000001E-2</v>
      </c>
      <c r="AA23">
        <v>0.14299999999999999</v>
      </c>
      <c r="AB23" s="20">
        <v>0.216</v>
      </c>
      <c r="AC23" s="20">
        <v>0.17199999999999999</v>
      </c>
      <c r="AD23" s="20"/>
      <c r="AE23" s="54">
        <v>4.3110735418427727E-2</v>
      </c>
      <c r="AF23" s="20">
        <v>4.491935483870968E-2</v>
      </c>
      <c r="AG23" s="97">
        <v>0.16403881323856292</v>
      </c>
      <c r="AH23">
        <v>2.5865567533291056E-2</v>
      </c>
    </row>
    <row r="24" spans="1:34">
      <c r="A24" s="20">
        <v>21</v>
      </c>
      <c r="B24" s="20">
        <v>63</v>
      </c>
      <c r="C24" s="20" t="s">
        <v>71</v>
      </c>
      <c r="D24" s="20"/>
      <c r="E24" s="20"/>
      <c r="F24" s="57"/>
      <c r="G24" s="57"/>
      <c r="H24" s="20">
        <v>5.738281678733493E-2</v>
      </c>
      <c r="I24" s="20">
        <v>0.12107356151778143</v>
      </c>
      <c r="J24" s="20">
        <v>6.0370098424852706E-2</v>
      </c>
      <c r="K24" s="20">
        <v>6.9594877339056241E-2</v>
      </c>
      <c r="L24">
        <v>8.6417889352036675E-2</v>
      </c>
      <c r="M24">
        <v>2.6466917704148121E-2</v>
      </c>
      <c r="N24" s="20">
        <v>6.5986643169743606E-2</v>
      </c>
      <c r="O24" s="20">
        <v>0.14241261811462197</v>
      </c>
      <c r="P24" s="20">
        <v>9.1873822975517896E-2</v>
      </c>
      <c r="Q24" s="87">
        <v>0.16841690642553775</v>
      </c>
      <c r="R24">
        <v>8.594448577475064E-2</v>
      </c>
      <c r="S24" s="20">
        <v>1.1241633547375913E-2</v>
      </c>
      <c r="T24" s="20"/>
      <c r="U24" s="20">
        <v>0.13</v>
      </c>
      <c r="V24" s="20">
        <v>5.2999999999999999E-2</v>
      </c>
      <c r="W24" s="20">
        <v>0.19600000000000001</v>
      </c>
      <c r="X24" s="20">
        <v>0.314</v>
      </c>
      <c r="Y24">
        <v>4.2999999999999997E-2</v>
      </c>
      <c r="Z24">
        <v>4.2999999999999997E-2</v>
      </c>
      <c r="AA24">
        <v>0.217</v>
      </c>
      <c r="AB24" s="20">
        <v>0.21199999999999999</v>
      </c>
      <c r="AC24" s="20">
        <v>0.17399999999999999</v>
      </c>
      <c r="AD24" s="20"/>
      <c r="AE24" s="54">
        <v>3.7962806424344887E-2</v>
      </c>
      <c r="AF24" s="20">
        <v>4.5366856419987354E-2</v>
      </c>
      <c r="AG24" s="97">
        <v>0.17086074258198342</v>
      </c>
      <c r="AH24">
        <v>2.9980342422320866E-2</v>
      </c>
    </row>
    <row r="25" spans="1:34">
      <c r="A25" s="20">
        <v>22</v>
      </c>
      <c r="B25" s="20">
        <v>66</v>
      </c>
      <c r="C25" s="20" t="s">
        <v>71</v>
      </c>
      <c r="D25" s="20"/>
      <c r="E25" s="20"/>
      <c r="F25" s="57"/>
      <c r="G25" s="57"/>
      <c r="H25" s="20">
        <v>5.8864500819383617E-2</v>
      </c>
      <c r="I25" s="20">
        <v>0.12550273352218394</v>
      </c>
      <c r="J25" s="20">
        <v>3.4964423698886381E-2</v>
      </c>
      <c r="K25" s="20">
        <v>5.9457613261689239E-2</v>
      </c>
      <c r="L25">
        <v>7.5583057883004082E-2</v>
      </c>
      <c r="M25">
        <v>2.395323976481752E-2</v>
      </c>
      <c r="N25" s="20">
        <v>0.10063506720683578</v>
      </c>
      <c r="O25" s="20">
        <v>0.168816625820741</v>
      </c>
      <c r="P25" s="20">
        <v>3.0446907141822396E-2</v>
      </c>
      <c r="Q25" s="87">
        <v>0.20717221537196873</v>
      </c>
      <c r="R25">
        <v>7.4541895688727419E-2</v>
      </c>
      <c r="S25" s="20">
        <v>1.0905775950996777E-2</v>
      </c>
      <c r="T25" s="20"/>
      <c r="U25" s="20">
        <v>0.11700000000000001</v>
      </c>
      <c r="V25" s="20">
        <v>3.4000000000000002E-2</v>
      </c>
      <c r="W25" s="20">
        <v>0.20200000000000001</v>
      </c>
      <c r="X25" s="20">
        <v>0.29399999999999998</v>
      </c>
      <c r="Y25">
        <v>3.1E-2</v>
      </c>
      <c r="Z25">
        <v>2.5999999999999999E-2</v>
      </c>
      <c r="AA25">
        <v>0.161</v>
      </c>
      <c r="AB25" s="20">
        <v>0.19900000000000001</v>
      </c>
      <c r="AC25" s="20">
        <v>0.17100000000000001</v>
      </c>
      <c r="AD25" s="20"/>
      <c r="AE25" s="54">
        <v>4.5650887573964495E-2</v>
      </c>
      <c r="AF25" s="20">
        <v>4.3402909550917142E-2</v>
      </c>
      <c r="AG25" s="97">
        <v>0.16498486320060726</v>
      </c>
      <c r="AH25">
        <v>4.1137603043753961E-2</v>
      </c>
    </row>
    <row r="26" spans="1:34">
      <c r="A26" s="20">
        <v>23</v>
      </c>
      <c r="B26" s="20">
        <v>69</v>
      </c>
      <c r="C26" s="20" t="s">
        <v>71</v>
      </c>
      <c r="D26" s="59" t="s">
        <v>130</v>
      </c>
      <c r="E26" s="59" t="s">
        <v>131</v>
      </c>
      <c r="F26" s="57"/>
      <c r="G26" s="57"/>
      <c r="H26" s="20">
        <v>3.8946022867047909E-2</v>
      </c>
      <c r="I26" s="20">
        <v>7.7930642513036108E-2</v>
      </c>
      <c r="J26" s="20">
        <v>5.0741595426653387E-2</v>
      </c>
      <c r="K26" s="20">
        <v>7.2278303992598922E-2</v>
      </c>
      <c r="L26">
        <v>7.2375154669595987E-2</v>
      </c>
      <c r="M26">
        <v>2.8635809475764072E-2</v>
      </c>
      <c r="N26" s="20">
        <v>7.6196554796168534E-2</v>
      </c>
      <c r="O26" s="20">
        <v>0.1050997339554146</v>
      </c>
      <c r="P26" s="20">
        <v>8.86416533874161E-2</v>
      </c>
      <c r="Q26" s="87">
        <v>0.15749760241128921</v>
      </c>
      <c r="R26">
        <v>5.8747860253808203E-2</v>
      </c>
      <c r="S26" s="20">
        <v>1.8291444427562711E-2</v>
      </c>
      <c r="T26" s="20"/>
      <c r="U26" s="20">
        <v>8.5999999999999993E-2</v>
      </c>
      <c r="V26" s="20">
        <v>6.7000000000000004E-2</v>
      </c>
      <c r="W26" s="20">
        <v>0.13900000000000001</v>
      </c>
      <c r="X26" s="20">
        <v>0.35899999999999999</v>
      </c>
      <c r="Y26">
        <v>5.3999999999999999E-2</v>
      </c>
      <c r="Z26">
        <v>1.4999999999999999E-2</v>
      </c>
      <c r="AA26">
        <v>0.185</v>
      </c>
      <c r="AB26" s="20">
        <v>0.20399999999999999</v>
      </c>
      <c r="AC26" s="20">
        <v>0.14699999999999999</v>
      </c>
      <c r="AD26" s="20"/>
      <c r="AE26" s="54">
        <v>0.1930473372781065</v>
      </c>
      <c r="AF26" s="20">
        <v>4.301549652118912E-2</v>
      </c>
      <c r="AG26" s="97">
        <v>0.23512940145246605</v>
      </c>
      <c r="AH26">
        <v>3.0826886493341785E-2</v>
      </c>
    </row>
    <row r="27" spans="1:34">
      <c r="A27" s="20">
        <v>24</v>
      </c>
      <c r="B27" s="20">
        <v>72</v>
      </c>
      <c r="C27" s="20" t="s">
        <v>69</v>
      </c>
      <c r="D27" s="59" t="s">
        <v>130</v>
      </c>
      <c r="E27" s="59" t="s">
        <v>131</v>
      </c>
      <c r="F27" s="57"/>
      <c r="G27" s="57"/>
      <c r="H27" s="20">
        <v>3.0305556291465922E-2</v>
      </c>
      <c r="I27" s="20">
        <v>9.558396333652093E-2</v>
      </c>
      <c r="J27" s="20">
        <v>0.11811139665390466</v>
      </c>
      <c r="K27" s="20">
        <v>0.13172763407720567</v>
      </c>
      <c r="L27">
        <v>8.4153799230805473E-2</v>
      </c>
      <c r="M27">
        <v>2.4280309172477161E-2</v>
      </c>
      <c r="N27" s="20">
        <v>8.4131513405601543E-2</v>
      </c>
      <c r="O27" s="20">
        <v>0.16474620919229913</v>
      </c>
      <c r="P27" s="20">
        <v>0.19727389057897535</v>
      </c>
      <c r="Q27" s="87">
        <v>0.17747636662556515</v>
      </c>
      <c r="R27">
        <v>9.1987779069851436E-2</v>
      </c>
      <c r="S27" s="20">
        <v>3.561210046940097E-2</v>
      </c>
      <c r="T27" s="20"/>
      <c r="U27" s="20">
        <v>0.151</v>
      </c>
      <c r="V27" s="20">
        <v>7.5999999999999998E-2</v>
      </c>
      <c r="W27" s="20">
        <v>0.20100000000000001</v>
      </c>
      <c r="X27" s="20">
        <v>0.56399999999999995</v>
      </c>
      <c r="Y27">
        <v>0.08</v>
      </c>
      <c r="Z27">
        <v>7.0999999999999994E-2</v>
      </c>
      <c r="AA27">
        <v>0.32700000000000001</v>
      </c>
      <c r="AB27" s="20">
        <v>0.20100000000000001</v>
      </c>
      <c r="AC27" s="20">
        <v>0.13500000000000001</v>
      </c>
      <c r="AD27" s="20"/>
      <c r="AE27" s="54">
        <v>0.20902366863905325</v>
      </c>
      <c r="AF27" s="20">
        <v>4.2003478810879187E-2</v>
      </c>
      <c r="AG27" s="97">
        <v>0.13533770290356842</v>
      </c>
      <c r="AH27">
        <v>3.8186429930247304E-2</v>
      </c>
    </row>
    <row r="28" spans="1:34">
      <c r="A28" s="20">
        <v>25</v>
      </c>
      <c r="B28" s="20">
        <v>75</v>
      </c>
      <c r="C28" s="20" t="s">
        <v>69</v>
      </c>
      <c r="D28" s="59" t="s">
        <v>130</v>
      </c>
      <c r="E28" s="59" t="s">
        <v>131</v>
      </c>
      <c r="F28" s="57"/>
      <c r="G28" s="57"/>
      <c r="H28" s="20">
        <v>5.359196587730819E-2</v>
      </c>
      <c r="I28" s="20">
        <v>9.4188044674593588E-2</v>
      </c>
      <c r="J28" s="20">
        <v>0.17133214454292756</v>
      </c>
      <c r="K28" s="20">
        <v>0.16704672464890624</v>
      </c>
      <c r="L28">
        <v>9.4218568286471654E-2</v>
      </c>
      <c r="M28">
        <v>2.8039565428895734E-2</v>
      </c>
      <c r="N28" s="20">
        <v>0.13679507605069613</v>
      </c>
      <c r="O28" s="20">
        <v>0.22935035319712202</v>
      </c>
      <c r="P28" s="20">
        <v>0.29467357187696169</v>
      </c>
      <c r="Q28" s="87">
        <v>0.21829360186326896</v>
      </c>
      <c r="R28">
        <v>0.11779979920693963</v>
      </c>
      <c r="S28" s="20">
        <v>4.0045420741605567E-2</v>
      </c>
      <c r="T28" s="20"/>
      <c r="U28" s="20">
        <v>0.13</v>
      </c>
      <c r="V28" s="20">
        <v>9.1999999999999998E-2</v>
      </c>
      <c r="W28" s="20">
        <v>0.19700000000000001</v>
      </c>
      <c r="X28" s="20">
        <v>0.53600000000000003</v>
      </c>
      <c r="Y28">
        <v>7.4999999999999997E-2</v>
      </c>
      <c r="Z28">
        <v>0.104</v>
      </c>
      <c r="AA28">
        <v>0.44600000000000001</v>
      </c>
      <c r="AB28" s="20">
        <v>0.252</v>
      </c>
      <c r="AC28" s="20">
        <v>0.16500000000000001</v>
      </c>
      <c r="AD28" s="20"/>
      <c r="AE28" s="54">
        <v>0.18606086221470836</v>
      </c>
      <c r="AF28" s="20">
        <v>7.0887096774193553E-2</v>
      </c>
      <c r="AG28" s="97">
        <v>0.17142444252183017</v>
      </c>
      <c r="AH28">
        <v>6.3436271401395058E-2</v>
      </c>
    </row>
    <row r="29" spans="1:34">
      <c r="A29" s="20">
        <v>26</v>
      </c>
      <c r="B29" s="20">
        <v>78</v>
      </c>
      <c r="C29" s="20" t="s">
        <v>69</v>
      </c>
      <c r="D29" s="59" t="s">
        <v>130</v>
      </c>
      <c r="E29" s="59" t="s">
        <v>131</v>
      </c>
      <c r="F29" s="57"/>
      <c r="G29" s="57"/>
      <c r="H29" s="20">
        <v>4.3883329611729485E-2</v>
      </c>
      <c r="I29" s="20">
        <v>0.12774079353337062</v>
      </c>
      <c r="J29" s="20">
        <v>0.1247915246236954</v>
      </c>
      <c r="K29" s="20">
        <v>0.12267686465611369</v>
      </c>
      <c r="L29">
        <v>9.621311796547799E-2</v>
      </c>
      <c r="M29">
        <v>2.4082451999591612E-2</v>
      </c>
      <c r="N29" s="20">
        <v>0.14913713836089454</v>
      </c>
      <c r="O29" s="20">
        <v>0.23325295204644644</v>
      </c>
      <c r="P29" s="20">
        <v>0.27693321744169197</v>
      </c>
      <c r="Q29" s="87">
        <v>0.22036580353473079</v>
      </c>
      <c r="R29">
        <v>0.10535351857335809</v>
      </c>
      <c r="S29" s="20">
        <v>2.7468353418150702E-2</v>
      </c>
      <c r="T29" s="20"/>
      <c r="U29" s="20">
        <v>0.20799999999999999</v>
      </c>
      <c r="V29" s="20">
        <v>7.2999999999999995E-2</v>
      </c>
      <c r="W29" s="20">
        <v>0.27700000000000002</v>
      </c>
      <c r="X29" s="20">
        <v>0.501</v>
      </c>
      <c r="Y29">
        <v>5.7000000000000002E-2</v>
      </c>
      <c r="Z29">
        <v>0.128</v>
      </c>
      <c r="AA29">
        <v>0.38800000000000001</v>
      </c>
      <c r="AB29" s="20">
        <v>0.246</v>
      </c>
      <c r="AC29" s="20">
        <v>0.221</v>
      </c>
      <c r="AD29" s="20"/>
      <c r="AE29" s="54">
        <v>0.19838546069315305</v>
      </c>
      <c r="AF29" s="20">
        <v>7.2251739405439594E-2</v>
      </c>
      <c r="AG29" s="97">
        <v>0.19801919487076142</v>
      </c>
      <c r="AH29">
        <v>7.2781864299302473E-2</v>
      </c>
    </row>
    <row r="30" spans="1:34">
      <c r="A30" s="20">
        <v>27</v>
      </c>
      <c r="B30" s="20">
        <v>81</v>
      </c>
      <c r="C30" s="20" t="s">
        <v>69</v>
      </c>
      <c r="D30" s="59" t="s">
        <v>130</v>
      </c>
      <c r="E30" s="59" t="s">
        <v>131</v>
      </c>
      <c r="F30" s="57"/>
      <c r="G30" s="57"/>
      <c r="H30" s="20">
        <v>7.0715702266645974E-2</v>
      </c>
      <c r="I30" s="20">
        <v>9.9657362466845908E-2</v>
      </c>
      <c r="J30" s="20">
        <v>9.5201832135801828E-2</v>
      </c>
      <c r="K30" s="20">
        <v>8.7485733034278382E-2</v>
      </c>
      <c r="L30">
        <v>7.5174953320158014E-2</v>
      </c>
      <c r="M30">
        <v>2.8771147505540242E-2</v>
      </c>
      <c r="N30" s="20">
        <v>0.13371097484051789</v>
      </c>
      <c r="O30" s="20">
        <v>0.1373644548707128</v>
      </c>
      <c r="P30" s="20">
        <v>0.14970954657395336</v>
      </c>
      <c r="Q30" s="87">
        <v>0.18458007946294011</v>
      </c>
      <c r="R30">
        <v>9.7236567449855912E-2</v>
      </c>
      <c r="S30" s="20">
        <v>2.4690331299528998E-2</v>
      </c>
      <c r="T30" s="20"/>
      <c r="U30" s="20">
        <v>0.112</v>
      </c>
      <c r="V30" s="20">
        <v>6.0999999999999999E-2</v>
      </c>
      <c r="W30" s="20">
        <v>0.16200000000000001</v>
      </c>
      <c r="X30" s="20">
        <v>0.27600000000000002</v>
      </c>
      <c r="Y30">
        <v>4.7E-2</v>
      </c>
      <c r="Z30">
        <v>7.6999999999999999E-2</v>
      </c>
      <c r="AA30">
        <v>0.36399999999999999</v>
      </c>
      <c r="AB30" s="20">
        <v>0.23599999999999999</v>
      </c>
      <c r="AC30" s="20">
        <v>0.16600000000000001</v>
      </c>
      <c r="AD30" s="20"/>
      <c r="AE30" s="54">
        <v>0.10263313609467457</v>
      </c>
      <c r="AF30" s="20">
        <v>6.2605945604048072E-2</v>
      </c>
      <c r="AG30" s="97">
        <v>0.16998311315022707</v>
      </c>
      <c r="AH30">
        <v>5.5145212428662022E-2</v>
      </c>
    </row>
    <row r="31" spans="1:34">
      <c r="A31" s="20">
        <v>28</v>
      </c>
      <c r="B31" s="20">
        <v>84</v>
      </c>
      <c r="C31" s="20" t="s">
        <v>69</v>
      </c>
      <c r="D31" s="59" t="s">
        <v>130</v>
      </c>
      <c r="E31" s="59" t="s">
        <v>131</v>
      </c>
      <c r="F31" s="57"/>
      <c r="G31" s="57"/>
      <c r="H31" s="20">
        <v>4.9385954288612269E-2</v>
      </c>
      <c r="I31" s="20">
        <v>0.10298009851505692</v>
      </c>
      <c r="J31" s="20">
        <v>4.512526004790126E-2</v>
      </c>
      <c r="K31" s="20">
        <v>5.7229976495140347E-2</v>
      </c>
      <c r="L31">
        <v>6.8287339534168656E-2</v>
      </c>
      <c r="M31">
        <v>2.5225092937919271E-2</v>
      </c>
      <c r="N31" s="20">
        <v>9.5255659095195053E-2</v>
      </c>
      <c r="O31" s="20">
        <v>0.23968441607800481</v>
      </c>
      <c r="P31" s="20">
        <v>6.9726447438311842E-2</v>
      </c>
      <c r="Q31" s="87">
        <v>0.21138512124948625</v>
      </c>
      <c r="R31">
        <v>0.10064210442683694</v>
      </c>
      <c r="S31" s="20">
        <v>2.2172198987629246E-2</v>
      </c>
      <c r="T31" s="20"/>
      <c r="U31" s="20">
        <v>0.128</v>
      </c>
      <c r="V31" s="20">
        <v>3.7999999999999999E-2</v>
      </c>
      <c r="W31" s="20">
        <v>0.17499999999999999</v>
      </c>
      <c r="X31" s="20">
        <v>0.27400000000000002</v>
      </c>
      <c r="Y31">
        <v>3.5000000000000003E-2</v>
      </c>
      <c r="Z31">
        <v>4.2999999999999997E-2</v>
      </c>
      <c r="AA31">
        <v>0.24299999999999999</v>
      </c>
      <c r="AB31" s="20">
        <v>0.23400000000000001</v>
      </c>
      <c r="AC31" s="20">
        <v>0.154</v>
      </c>
      <c r="AD31" s="20"/>
      <c r="AE31" s="54">
        <v>7.4205409974640743E-2</v>
      </c>
      <c r="AF31" s="20">
        <v>6.2294433902593302E-2</v>
      </c>
      <c r="AG31" s="97">
        <v>0.15468153628665066</v>
      </c>
      <c r="AH31">
        <v>5.0043119847812303E-2</v>
      </c>
    </row>
    <row r="32" spans="1:34">
      <c r="A32" s="20">
        <v>29</v>
      </c>
      <c r="B32" s="20">
        <v>87</v>
      </c>
      <c r="C32" s="20" t="s">
        <v>69</v>
      </c>
      <c r="D32" s="59" t="s">
        <v>130</v>
      </c>
      <c r="E32" s="59" t="s">
        <v>131</v>
      </c>
      <c r="F32" s="57"/>
      <c r="G32" s="57"/>
      <c r="H32" s="20">
        <v>5.6398004715713622E-2</v>
      </c>
      <c r="I32" s="20">
        <v>0.10579817043465709</v>
      </c>
      <c r="J32" s="20">
        <v>6.7880106991136516E-2</v>
      </c>
      <c r="K32" s="20">
        <v>6.6810654102055195E-2</v>
      </c>
      <c r="L32">
        <v>7.7685770893103773E-2</v>
      </c>
      <c r="M32">
        <v>2.4651190025764377E-2</v>
      </c>
      <c r="N32" s="20">
        <v>8.6745654478179737E-2</v>
      </c>
      <c r="O32" s="20">
        <v>0.19497234708989161</v>
      </c>
      <c r="P32" s="20">
        <v>7.7821720025109856E-2</v>
      </c>
      <c r="Q32" s="87">
        <v>0.20541170023290864</v>
      </c>
      <c r="R32">
        <v>0.10081761778535366</v>
      </c>
      <c r="S32" s="20">
        <v>1.1219243040950636E-2</v>
      </c>
      <c r="T32" s="20"/>
      <c r="U32" s="20">
        <v>0.126</v>
      </c>
      <c r="V32" s="20">
        <v>4.5999999999999999E-2</v>
      </c>
      <c r="W32" s="20">
        <v>0.182</v>
      </c>
      <c r="X32" s="20">
        <v>0.28599999999999998</v>
      </c>
      <c r="Y32">
        <v>4.5999999999999999E-2</v>
      </c>
      <c r="Z32">
        <v>4.2999999999999997E-2</v>
      </c>
      <c r="AA32">
        <v>0.29399999999999998</v>
      </c>
      <c r="AB32" s="20">
        <v>0.28000000000000003</v>
      </c>
      <c r="AC32" s="20">
        <v>0.161</v>
      </c>
      <c r="AD32" s="20"/>
      <c r="AE32" s="54">
        <v>5.4771766694843627E-2</v>
      </c>
      <c r="AF32" s="20">
        <v>5.8311195445920297E-2</v>
      </c>
      <c r="AG32" s="97">
        <v>0.14670071941464979</v>
      </c>
      <c r="AH32">
        <v>3.4749524413443249E-2</v>
      </c>
    </row>
    <row r="33" spans="1:34">
      <c r="A33" s="20">
        <v>30</v>
      </c>
      <c r="B33" s="20">
        <v>90</v>
      </c>
      <c r="C33" s="20" t="s">
        <v>69</v>
      </c>
      <c r="D33" s="59" t="s">
        <v>130</v>
      </c>
      <c r="E33" s="59" t="s">
        <v>131</v>
      </c>
      <c r="F33" s="57"/>
      <c r="G33" s="57"/>
      <c r="H33" s="20">
        <v>5.7583045382120411E-2</v>
      </c>
      <c r="I33" s="20">
        <v>0.12433487902134492</v>
      </c>
      <c r="J33" s="20">
        <v>3.4964423698886381E-2</v>
      </c>
      <c r="K33" s="20">
        <v>4.0016136059251611E-2</v>
      </c>
      <c r="L33">
        <v>6.0060032880462411E-2</v>
      </c>
      <c r="M33">
        <v>2.3021428271144499E-2</v>
      </c>
      <c r="N33" s="20">
        <v>8.5711117902964651E-2</v>
      </c>
      <c r="O33" s="20">
        <v>0.18752159154948037</v>
      </c>
      <c r="P33" s="20">
        <v>1.6327200733980394E-2</v>
      </c>
      <c r="Q33" s="87">
        <v>0.20520961775585697</v>
      </c>
      <c r="R33">
        <v>9.030126181826062E-2</v>
      </c>
      <c r="S33" s="20">
        <v>1.6088378527504339E-2</v>
      </c>
      <c r="T33" s="20"/>
      <c r="U33" s="20">
        <v>0.114</v>
      </c>
      <c r="V33" s="20">
        <v>2.5999999999999999E-2</v>
      </c>
      <c r="W33" s="20">
        <v>0.17499999999999999</v>
      </c>
      <c r="X33" s="20">
        <v>0.317</v>
      </c>
      <c r="Y33">
        <v>2.3E-2</v>
      </c>
      <c r="Z33">
        <v>2.5000000000000001E-2</v>
      </c>
      <c r="AA33">
        <v>0.18099999999999999</v>
      </c>
      <c r="AB33" s="20">
        <v>0.23</v>
      </c>
      <c r="AC33" s="20">
        <v>0.14799999999999999</v>
      </c>
      <c r="AD33" s="20"/>
      <c r="AE33" s="54">
        <v>4.940828402366864E-2</v>
      </c>
      <c r="AF33" s="20">
        <v>5.3800600885515491E-2</v>
      </c>
      <c r="AG33" s="97">
        <v>0.12842793959220039</v>
      </c>
      <c r="AH33">
        <v>3.4764109067850352E-2</v>
      </c>
    </row>
    <row r="34" spans="1:34">
      <c r="A34" s="20">
        <v>31</v>
      </c>
      <c r="B34" s="20">
        <v>93</v>
      </c>
      <c r="C34" s="20" t="s">
        <v>72</v>
      </c>
      <c r="D34" s="59" t="s">
        <v>132</v>
      </c>
      <c r="E34" s="59" t="s">
        <v>133</v>
      </c>
      <c r="F34" s="57"/>
      <c r="G34" s="57"/>
      <c r="H34" s="20">
        <v>5.5133012644622156E-2</v>
      </c>
      <c r="I34" s="20">
        <v>0.11515406961008967</v>
      </c>
      <c r="J34" s="20">
        <v>6.1234069334452197E-2</v>
      </c>
      <c r="K34" s="20">
        <v>7.0848111274264602E-2</v>
      </c>
      <c r="L34">
        <v>7.3305775902042999E-2</v>
      </c>
      <c r="M34">
        <v>2.7893987712375907E-2</v>
      </c>
      <c r="N34" s="20">
        <v>6.9238647669707831E-2</v>
      </c>
      <c r="O34" s="20">
        <v>0.15554676749275914</v>
      </c>
      <c r="P34" s="62">
        <v>8.0468395383649624E-2</v>
      </c>
      <c r="Q34" s="87">
        <v>0.19298534045759694</v>
      </c>
      <c r="R34">
        <v>9.2917349820514125E-2</v>
      </c>
      <c r="S34" s="20">
        <v>1.407163362734201E-2</v>
      </c>
      <c r="T34" s="20"/>
      <c r="U34" s="20">
        <v>0.115</v>
      </c>
      <c r="V34" s="20">
        <v>5.3999999999999999E-2</v>
      </c>
      <c r="W34" s="20">
        <v>0.17599999999999999</v>
      </c>
      <c r="X34" s="20">
        <v>0.32300000000000001</v>
      </c>
      <c r="Y34">
        <v>5.2999999999999999E-2</v>
      </c>
      <c r="Z34">
        <v>4.2000000000000003E-2</v>
      </c>
      <c r="AA34">
        <v>0.245</v>
      </c>
      <c r="AB34" s="20">
        <v>0.23</v>
      </c>
      <c r="AC34" s="20">
        <v>0.16400000000000001</v>
      </c>
      <c r="AD34" s="20"/>
      <c r="AE34" s="54">
        <v>4.3689771766694842E-2</v>
      </c>
      <c r="AF34" s="20">
        <v>4.8919987349778621E-2</v>
      </c>
      <c r="AG34" s="97">
        <v>7.4255925549371882E-2</v>
      </c>
      <c r="AH34">
        <v>3.8186429930247304E-2</v>
      </c>
    </row>
    <row r="35" spans="1:34">
      <c r="A35" s="20">
        <v>32</v>
      </c>
      <c r="B35" s="20">
        <v>96</v>
      </c>
      <c r="C35" s="20" t="s">
        <v>72</v>
      </c>
      <c r="D35" s="59" t="s">
        <v>132</v>
      </c>
      <c r="E35" s="59" t="s">
        <v>133</v>
      </c>
      <c r="F35" s="57"/>
      <c r="G35" s="57"/>
      <c r="H35" s="20">
        <v>6.5049730719884333E-2</v>
      </c>
      <c r="I35" s="20">
        <v>0.10760727495804989</v>
      </c>
      <c r="J35" s="20">
        <v>0.12681334242408351</v>
      </c>
      <c r="K35" s="20">
        <v>7.0004894604639656E-2</v>
      </c>
      <c r="L35">
        <v>0.11786348904852471</v>
      </c>
      <c r="M35">
        <v>2.8969665303376996E-2</v>
      </c>
      <c r="N35" s="20">
        <v>0.13844068435872259</v>
      </c>
      <c r="O35" s="98">
        <v>0.28232415501356434</v>
      </c>
      <c r="P35">
        <v>7.9767975276449854E-2</v>
      </c>
      <c r="Q35" s="87">
        <v>0.19318399780791889</v>
      </c>
      <c r="R35">
        <v>0.11542639634238827</v>
      </c>
      <c r="S35" s="20">
        <v>1.7774063796950096E-2</v>
      </c>
      <c r="T35" s="20"/>
      <c r="U35" s="20">
        <v>0.20399999999999999</v>
      </c>
      <c r="V35" s="20">
        <v>6.4000000000000001E-2</v>
      </c>
      <c r="W35" s="20">
        <v>0.19500000000000001</v>
      </c>
      <c r="X35" s="20">
        <v>0.34499999999999997</v>
      </c>
      <c r="Y35">
        <v>6.7000000000000004E-2</v>
      </c>
      <c r="Z35">
        <v>3.5000000000000003E-2</v>
      </c>
      <c r="AA35">
        <v>0.28499999999999998</v>
      </c>
      <c r="AB35" s="20">
        <v>0.28499999999999998</v>
      </c>
      <c r="AC35" s="20">
        <v>0.185</v>
      </c>
      <c r="AD35" s="99"/>
      <c r="AE35" s="54">
        <v>4.1728655959425189E-2</v>
      </c>
      <c r="AF35" s="20">
        <v>5.2136306135357365E-2</v>
      </c>
      <c r="AG35" s="97">
        <v>0.17651478792571301</v>
      </c>
      <c r="AH35">
        <v>7.2781864299302473E-2</v>
      </c>
    </row>
    <row r="36" spans="1:34">
      <c r="A36" s="20">
        <v>33</v>
      </c>
      <c r="B36" s="20">
        <v>99</v>
      </c>
      <c r="C36" s="20" t="s">
        <v>72</v>
      </c>
      <c r="D36" s="59" t="s">
        <v>132</v>
      </c>
      <c r="E36" s="59" t="s">
        <v>133</v>
      </c>
      <c r="F36" s="57"/>
      <c r="G36" s="57"/>
      <c r="H36" s="20">
        <v>8.2295958338221883E-2</v>
      </c>
      <c r="I36" s="20">
        <v>0.16169467549573283</v>
      </c>
      <c r="J36" s="20">
        <v>0.43394713379136729</v>
      </c>
      <c r="K36" s="20">
        <v>0.10894636911773406</v>
      </c>
      <c r="L36">
        <v>0.13343099938256145</v>
      </c>
      <c r="M36">
        <v>4.8804809349644762E-2</v>
      </c>
      <c r="N36" s="20">
        <v>0.24757314067590505</v>
      </c>
      <c r="O36" s="98">
        <v>0.35405868707652388</v>
      </c>
      <c r="P36" s="72">
        <v>0.17194094355111306</v>
      </c>
      <c r="Q36" s="87">
        <v>0.23321345389779422</v>
      </c>
      <c r="R36">
        <v>0.15984861069981438</v>
      </c>
      <c r="S36" s="20">
        <v>5.2228255219786815E-2</v>
      </c>
      <c r="T36" s="20"/>
      <c r="U36" s="20">
        <v>0.26</v>
      </c>
      <c r="V36" s="20">
        <v>0.121</v>
      </c>
      <c r="W36" s="20">
        <v>0.24099999999999999</v>
      </c>
      <c r="X36" s="20">
        <v>0.374</v>
      </c>
      <c r="Y36">
        <v>0.11700000000000001</v>
      </c>
      <c r="Z36">
        <v>9.2999999999999999E-2</v>
      </c>
      <c r="AA36">
        <v>0.56399999999999995</v>
      </c>
      <c r="AB36" s="20">
        <v>0.24299999999999999</v>
      </c>
      <c r="AC36" s="20">
        <v>0.26500000000000001</v>
      </c>
      <c r="AD36" s="99"/>
      <c r="AE36" s="54">
        <v>3.0879120879120883E-2</v>
      </c>
      <c r="AF36" s="20">
        <v>7.6897533206831126E-2</v>
      </c>
      <c r="AG36" s="97">
        <v>0.25151813082497831</v>
      </c>
      <c r="AH36">
        <v>4.7438807863031077E-2</v>
      </c>
    </row>
    <row r="37" spans="1:34">
      <c r="A37" s="20">
        <v>34</v>
      </c>
      <c r="B37" s="20">
        <v>102</v>
      </c>
      <c r="C37" s="20" t="s">
        <v>69</v>
      </c>
      <c r="D37" s="59" t="s">
        <v>132</v>
      </c>
      <c r="E37" s="59" t="s">
        <v>133</v>
      </c>
      <c r="F37" s="57"/>
      <c r="G37" s="57"/>
      <c r="H37" s="20">
        <v>7.1431328839654376E-2</v>
      </c>
      <c r="I37" s="20">
        <v>0.17703372246179383</v>
      </c>
      <c r="J37" s="20">
        <v>0.59732294889949467</v>
      </c>
      <c r="K37" s="20">
        <v>0.11126700337243639</v>
      </c>
      <c r="L37">
        <v>0.13489829621676308</v>
      </c>
      <c r="M37">
        <v>3.8463716675975479E-2</v>
      </c>
      <c r="N37" s="20">
        <v>0.26300164521813774</v>
      </c>
      <c r="O37" s="98">
        <v>0.41022056799863704</v>
      </c>
      <c r="P37" s="72">
        <v>0.20832512434207348</v>
      </c>
      <c r="Q37" s="87">
        <v>0.26704685573366216</v>
      </c>
      <c r="R37">
        <v>0.15016792944796353</v>
      </c>
      <c r="S37" s="20">
        <v>6.0258450417023192E-2</v>
      </c>
      <c r="T37" s="20"/>
      <c r="U37" s="20">
        <v>0.307</v>
      </c>
      <c r="V37" s="20">
        <v>0.124</v>
      </c>
      <c r="W37" s="20">
        <v>0.26300000000000001</v>
      </c>
      <c r="X37" s="20">
        <v>0.374</v>
      </c>
      <c r="Y37">
        <v>0.108</v>
      </c>
      <c r="Z37">
        <v>0.13800000000000001</v>
      </c>
      <c r="AA37">
        <v>0.628</v>
      </c>
      <c r="AB37" s="20">
        <v>0.33900000000000002</v>
      </c>
      <c r="AC37" s="20">
        <v>0.27800000000000002</v>
      </c>
      <c r="AD37" s="99"/>
      <c r="AE37" s="54">
        <v>3.1491969568892643E-2</v>
      </c>
      <c r="AF37" s="20">
        <v>6.7049335863377607E-2</v>
      </c>
      <c r="AG37" s="97">
        <v>0.22509809941498315</v>
      </c>
      <c r="AH37">
        <v>6.378249841471148E-2</v>
      </c>
    </row>
    <row r="38" spans="1:34">
      <c r="A38" s="20">
        <v>35</v>
      </c>
      <c r="B38" s="20">
        <v>105</v>
      </c>
      <c r="C38" s="20" t="s">
        <v>69</v>
      </c>
      <c r="D38" s="59" t="s">
        <v>132</v>
      </c>
      <c r="E38" s="59" t="s">
        <v>133</v>
      </c>
      <c r="F38" s="57"/>
      <c r="G38" s="57"/>
      <c r="H38" s="20">
        <v>7.9937231051044E-2</v>
      </c>
      <c r="I38" s="20">
        <v>0.13634992692564457</v>
      </c>
      <c r="J38" s="20">
        <v>0.63198755266516315</v>
      </c>
      <c r="K38" s="20">
        <v>0.131179653505021</v>
      </c>
      <c r="L38">
        <v>0.12104790975974448</v>
      </c>
      <c r="M38">
        <v>3.4408560498231329E-2</v>
      </c>
      <c r="N38" s="20">
        <v>0.21167038412266953</v>
      </c>
      <c r="O38" s="98">
        <v>0.32847489613776654</v>
      </c>
      <c r="P38" s="72">
        <v>0.17583635134482592</v>
      </c>
      <c r="Q38" s="87">
        <v>0.25482600356213181</v>
      </c>
      <c r="R38">
        <v>0.11843106947584345</v>
      </c>
      <c r="S38" s="20">
        <v>4.4547511854973486E-2</v>
      </c>
      <c r="T38" s="20"/>
      <c r="U38" s="20">
        <v>0.23100000000000001</v>
      </c>
      <c r="V38" s="20">
        <v>0.11899999999999999</v>
      </c>
      <c r="W38" s="20">
        <v>0.19800000000000001</v>
      </c>
      <c r="X38" s="20">
        <v>0.255</v>
      </c>
      <c r="Y38">
        <v>0.113</v>
      </c>
      <c r="Z38">
        <v>0.183</v>
      </c>
      <c r="AA38">
        <v>0.47699999999999998</v>
      </c>
      <c r="AB38" s="20">
        <v>0.23100000000000001</v>
      </c>
      <c r="AC38" s="20">
        <v>0.26900000000000002</v>
      </c>
      <c r="AD38" s="99"/>
      <c r="AE38" s="54">
        <v>4.6081994928148781E-2</v>
      </c>
      <c r="AF38" s="20">
        <v>7.0529728020240365E-2</v>
      </c>
      <c r="AG38" s="97">
        <v>0.17133045307364908</v>
      </c>
      <c r="AH38">
        <v>7.2280279010779963E-2</v>
      </c>
    </row>
    <row r="39" spans="1:34">
      <c r="A39" s="20">
        <v>36</v>
      </c>
      <c r="B39" s="20">
        <v>108</v>
      </c>
      <c r="C39" s="20" t="s">
        <v>69</v>
      </c>
      <c r="D39" s="59" t="s">
        <v>132</v>
      </c>
      <c r="E39" s="59" t="s">
        <v>133</v>
      </c>
      <c r="F39" s="57"/>
      <c r="G39" s="57"/>
      <c r="H39" s="20">
        <v>4.2267213679354182E-2</v>
      </c>
      <c r="I39" s="20">
        <v>0.1143136964798008</v>
      </c>
      <c r="J39" s="20">
        <v>0.33114211290012407</v>
      </c>
      <c r="K39" s="20">
        <v>7.8064641053361944E-2</v>
      </c>
      <c r="L39">
        <v>8.2128253640779705E-2</v>
      </c>
      <c r="M39">
        <v>1.7490435952410982E-2</v>
      </c>
      <c r="N39" s="20">
        <v>0.15400808953108033</v>
      </c>
      <c r="O39" s="20">
        <v>0.25728005451948149</v>
      </c>
      <c r="P39" s="73">
        <v>0.10992080737843449</v>
      </c>
      <c r="Q39" s="87">
        <v>0.2047986025482943</v>
      </c>
      <c r="R39">
        <v>9.5730619497150601E-2</v>
      </c>
      <c r="S39" s="20">
        <v>2.6124923032634161E-2</v>
      </c>
      <c r="T39" s="20"/>
      <c r="U39" s="20">
        <v>0.161</v>
      </c>
      <c r="V39" s="20">
        <v>6.9000000000000006E-2</v>
      </c>
      <c r="W39" s="20">
        <v>0.13600000000000001</v>
      </c>
      <c r="X39" s="20">
        <v>0.30299999999999999</v>
      </c>
      <c r="Y39">
        <v>6.2E-2</v>
      </c>
      <c r="Z39">
        <v>0.14599999999999999</v>
      </c>
      <c r="AA39">
        <v>0.245</v>
      </c>
      <c r="AB39" s="20">
        <v>0.23100000000000001</v>
      </c>
      <c r="AC39" s="20">
        <v>0.188</v>
      </c>
      <c r="AD39" s="20"/>
      <c r="AE39" s="54">
        <v>2.169484361792054E-2</v>
      </c>
      <c r="AF39" s="20">
        <v>6.5755850727387738E-2</v>
      </c>
      <c r="AG39" s="97">
        <v>0.17173742501678077</v>
      </c>
      <c r="AH39">
        <v>2.8915662650602407E-2</v>
      </c>
    </row>
    <row r="40" spans="1:34">
      <c r="A40" s="20">
        <v>37</v>
      </c>
      <c r="B40" s="20">
        <v>111</v>
      </c>
      <c r="C40" s="20" t="s">
        <v>69</v>
      </c>
      <c r="D40" s="59" t="s">
        <v>132</v>
      </c>
      <c r="E40" s="59" t="s">
        <v>133</v>
      </c>
      <c r="F40" s="57"/>
      <c r="G40" s="57"/>
      <c r="H40" s="20">
        <v>3.3731734179083574E-2</v>
      </c>
      <c r="I40" s="20">
        <v>5.0826191292423724E-2</v>
      </c>
      <c r="J40" s="20">
        <v>0.12820177968916627</v>
      </c>
      <c r="K40" s="20">
        <v>5.0709502525293271E-2</v>
      </c>
      <c r="L40">
        <v>5.3311578336585841E-2</v>
      </c>
      <c r="M40">
        <v>1.7638836339176862E-2</v>
      </c>
      <c r="N40" s="20">
        <v>8.3634566488272125E-2</v>
      </c>
      <c r="O40" s="20">
        <v>0.17765428620106682</v>
      </c>
      <c r="P40">
        <v>8.0602636534839928E-2</v>
      </c>
      <c r="Q40" s="87">
        <v>0.16467324290998769</v>
      </c>
      <c r="R40">
        <v>7.5693927815617082E-2</v>
      </c>
      <c r="S40" s="20">
        <v>1.7003190647165604E-2</v>
      </c>
      <c r="T40" s="20"/>
      <c r="U40" s="20">
        <v>6.5000000000000002E-2</v>
      </c>
      <c r="V40" s="20">
        <v>4.4999999999999998E-2</v>
      </c>
      <c r="W40" s="20">
        <v>9.7000000000000003E-2</v>
      </c>
      <c r="X40" s="20">
        <v>0.14299999999999999</v>
      </c>
      <c r="Y40">
        <v>3.1E-2</v>
      </c>
      <c r="Z40">
        <v>0.06</v>
      </c>
      <c r="AA40">
        <v>0.17499999999999999</v>
      </c>
      <c r="AB40" s="20">
        <v>0.20200000000000001</v>
      </c>
      <c r="AC40" s="20">
        <v>0.15</v>
      </c>
      <c r="AD40" s="20"/>
      <c r="AE40" s="54">
        <v>2.5714285714285714E-2</v>
      </c>
      <c r="AF40" s="20">
        <v>5.8935009487666036E-2</v>
      </c>
      <c r="AG40" s="97">
        <v>0.11433331035287379</v>
      </c>
      <c r="AH40">
        <v>2.8915662650602407E-2</v>
      </c>
    </row>
    <row r="41" spans="1:34">
      <c r="A41" s="20">
        <v>38</v>
      </c>
      <c r="B41" s="20">
        <v>114</v>
      </c>
      <c r="C41" s="20" t="s">
        <v>69</v>
      </c>
      <c r="D41" s="59" t="s">
        <v>132</v>
      </c>
      <c r="E41" s="59" t="s">
        <v>133</v>
      </c>
      <c r="F41" s="57"/>
      <c r="G41" s="57"/>
      <c r="H41" s="20">
        <v>2.9886856935240309E-2</v>
      </c>
      <c r="I41" s="20">
        <v>6.502076755137759E-2</v>
      </c>
      <c r="J41" s="20">
        <v>6.3985419835317567E-2</v>
      </c>
      <c r="K41" s="20">
        <v>3.9252416374872923E-2</v>
      </c>
      <c r="L41">
        <v>4.4048462726797084E-2</v>
      </c>
      <c r="M41">
        <v>1.2564455975352684E-2</v>
      </c>
      <c r="N41" s="20">
        <v>9.3219945506213472E-2</v>
      </c>
      <c r="O41" s="20">
        <v>0.20564689461751176</v>
      </c>
      <c r="P41">
        <v>3.4675503404316965E-2</v>
      </c>
      <c r="Q41" s="87">
        <v>0.21653651185093847</v>
      </c>
      <c r="R41">
        <v>8.3684480429899386E-2</v>
      </c>
      <c r="S41" s="20">
        <v>1.5716536188656011E-2</v>
      </c>
      <c r="T41" s="20"/>
      <c r="U41" s="20">
        <v>8.5000000000000006E-2</v>
      </c>
      <c r="V41" s="20">
        <v>3.6999999999999998E-2</v>
      </c>
      <c r="W41" s="20">
        <v>0.11</v>
      </c>
      <c r="X41" s="20">
        <v>0.17499999999999999</v>
      </c>
      <c r="Y41">
        <v>0.02</v>
      </c>
      <c r="Z41">
        <v>2.9000000000000001E-2</v>
      </c>
      <c r="AA41">
        <v>0.188</v>
      </c>
      <c r="AB41" s="20">
        <v>0.29299999999999998</v>
      </c>
      <c r="AC41" s="20">
        <v>0.16500000000000001</v>
      </c>
      <c r="AD41" s="20"/>
      <c r="AE41" s="54">
        <v>2.1115807269653421E-2</v>
      </c>
      <c r="AF41" s="20">
        <v>6.1529095509171419E-2</v>
      </c>
      <c r="AG41" s="97">
        <v>0.10519881443556707</v>
      </c>
      <c r="AH41">
        <v>2.8913760304375397E-2</v>
      </c>
    </row>
    <row r="42" spans="1:34">
      <c r="A42" s="20">
        <v>39</v>
      </c>
      <c r="B42" s="20">
        <v>117</v>
      </c>
      <c r="C42" s="20" t="s">
        <v>69</v>
      </c>
      <c r="D42" s="59" t="s">
        <v>132</v>
      </c>
      <c r="E42" s="59" t="s">
        <v>133</v>
      </c>
      <c r="F42" s="57"/>
      <c r="G42" s="57"/>
      <c r="H42" s="20">
        <v>4.2173504956040921E-2</v>
      </c>
      <c r="I42" s="20">
        <v>6.5936957580787769E-2</v>
      </c>
      <c r="J42" s="20">
        <v>5.7123826506529619E-2</v>
      </c>
      <c r="K42" s="20">
        <v>4.2823380074118296E-2</v>
      </c>
      <c r="L42">
        <v>5.2112780481998813E-2</v>
      </c>
      <c r="M42">
        <v>1.9198902161444726E-2</v>
      </c>
      <c r="N42" s="20">
        <v>6.2231383999115618E-2</v>
      </c>
      <c r="O42" s="20">
        <v>0.15378785893084151</v>
      </c>
      <c r="P42">
        <v>6.8912550098990777E-2</v>
      </c>
      <c r="Q42" s="87">
        <v>0.19255377448965613</v>
      </c>
      <c r="R42">
        <v>7.4005243732439635E-2</v>
      </c>
      <c r="S42" s="20">
        <v>8.9618001967165933E-3</v>
      </c>
      <c r="T42" s="20"/>
      <c r="U42" s="20">
        <v>8.3000000000000004E-2</v>
      </c>
      <c r="V42" s="20">
        <v>3.6999999999999998E-2</v>
      </c>
      <c r="W42" s="20">
        <v>0.13100000000000001</v>
      </c>
      <c r="X42" s="20">
        <v>0.21299999999999999</v>
      </c>
      <c r="Y42">
        <v>2.7E-2</v>
      </c>
      <c r="Z42">
        <v>0.03</v>
      </c>
      <c r="AA42">
        <v>0.183</v>
      </c>
      <c r="AB42" s="20">
        <v>0.24199999999999999</v>
      </c>
      <c r="AC42" s="20">
        <v>0.14499999999999999</v>
      </c>
      <c r="AD42" s="20"/>
      <c r="AE42" s="54">
        <v>1.9932375316990703E-2</v>
      </c>
      <c r="AF42" s="20">
        <v>5.655518659076534E-2</v>
      </c>
      <c r="AG42" s="97">
        <v>9.386846931957131E-2</v>
      </c>
      <c r="AH42">
        <v>1.1536461636017757E-2</v>
      </c>
    </row>
    <row r="43" spans="1:34">
      <c r="A43" s="20">
        <v>40</v>
      </c>
      <c r="B43" s="20">
        <v>120</v>
      </c>
      <c r="C43" s="20" t="s">
        <v>69</v>
      </c>
      <c r="D43" s="59" t="s">
        <v>135</v>
      </c>
      <c r="E43" s="59" t="s">
        <v>136</v>
      </c>
      <c r="F43" s="57"/>
      <c r="G43" s="57"/>
      <c r="H43" s="20">
        <v>4.3423604303940232E-2</v>
      </c>
      <c r="I43" s="20">
        <v>6.603016798080219E-2</v>
      </c>
      <c r="J43" s="20">
        <v>3.4964423698886381E-2</v>
      </c>
      <c r="K43" s="20">
        <v>2.8740311641091015E-2</v>
      </c>
      <c r="L43">
        <v>4.3206018662018106E-2</v>
      </c>
      <c r="M43">
        <v>1.9102300776534603E-2</v>
      </c>
      <c r="N43" s="20">
        <v>6.9917153837650126E-2</v>
      </c>
      <c r="O43" s="20">
        <v>0.1641483952138186</v>
      </c>
      <c r="P43">
        <v>1.1320198947317592E-2</v>
      </c>
      <c r="Q43" s="87">
        <v>0.1768050417865461</v>
      </c>
      <c r="R43">
        <v>6.9970603318141436E-2</v>
      </c>
      <c r="S43" s="20">
        <v>9.5991299688931876E-3</v>
      </c>
      <c r="T43" s="20"/>
      <c r="U43" s="20">
        <v>7.9000000000000001E-2</v>
      </c>
      <c r="V43" s="20">
        <v>8.9999999999999993E-3</v>
      </c>
      <c r="W43" s="20">
        <v>0.13300000000000001</v>
      </c>
      <c r="X43" s="20">
        <v>0.22</v>
      </c>
      <c r="Y43">
        <v>2.1000000000000001E-2</v>
      </c>
      <c r="Z43">
        <v>1.4E-2</v>
      </c>
      <c r="AA43">
        <v>0.11899999999999999</v>
      </c>
      <c r="AB43" s="20">
        <v>0.23899999999999999</v>
      </c>
      <c r="AC43" s="20">
        <v>0.151</v>
      </c>
      <c r="AD43" s="20"/>
      <c r="AE43" s="54">
        <v>2.3009298393913778E-2</v>
      </c>
      <c r="AF43" s="20">
        <v>5.5882352941176473E-2</v>
      </c>
      <c r="AG43" s="97">
        <v>9.2057100886237642E-2</v>
      </c>
      <c r="AH43">
        <v>1.2626506024096385E-2</v>
      </c>
    </row>
    <row r="44" spans="1:34">
      <c r="A44" s="20">
        <v>41</v>
      </c>
      <c r="B44" s="20">
        <v>123</v>
      </c>
      <c r="C44" s="20" t="s">
        <v>73</v>
      </c>
      <c r="D44" s="59" t="s">
        <v>135</v>
      </c>
      <c r="E44" s="59" t="s">
        <v>136</v>
      </c>
      <c r="F44" s="57"/>
      <c r="G44" s="57"/>
      <c r="H44" s="20">
        <v>4.8202257184272373E-2</v>
      </c>
      <c r="I44" s="20">
        <v>7.2041823791566678E-2</v>
      </c>
      <c r="J44" s="20">
        <v>3.9263124770545971E-2</v>
      </c>
      <c r="K44" s="20">
        <v>5.3097639294531492E-2</v>
      </c>
      <c r="L44">
        <v>4.6284954088856599E-2</v>
      </c>
      <c r="M44">
        <v>1.8274807968338049E-2</v>
      </c>
      <c r="N44" s="20">
        <v>4.7583870359411889E-2</v>
      </c>
      <c r="O44" s="20">
        <v>0.11408751949464635</v>
      </c>
      <c r="P44">
        <v>9.2080254961610888E-2</v>
      </c>
      <c r="Q44" s="87">
        <v>0.16066926976298124</v>
      </c>
      <c r="R44">
        <v>7.6410426793594846E-2</v>
      </c>
      <c r="S44" s="20">
        <v>1.0578714624999E-2</v>
      </c>
      <c r="T44" s="20"/>
      <c r="U44" s="20">
        <v>9.6000000000000002E-2</v>
      </c>
      <c r="V44" s="20">
        <v>4.2000000000000003E-2</v>
      </c>
      <c r="W44" s="20">
        <v>0.14199999999999999</v>
      </c>
      <c r="X44" s="20">
        <v>0.219</v>
      </c>
      <c r="Y44">
        <v>3.2000000000000001E-2</v>
      </c>
      <c r="Z44">
        <v>2.3E-2</v>
      </c>
      <c r="AA44">
        <v>0.2</v>
      </c>
      <c r="AB44" s="20">
        <v>0.29399999999999998</v>
      </c>
      <c r="AC44" s="20">
        <v>0.15</v>
      </c>
      <c r="AD44" s="20"/>
      <c r="AE44" s="54">
        <v>2.3338968723584111E-2</v>
      </c>
      <c r="AF44" s="20">
        <v>6.7462839974699554E-2</v>
      </c>
      <c r="AG44" s="97">
        <v>0.10626821075152162</v>
      </c>
      <c r="AH44">
        <v>9.5567533291058965E-3</v>
      </c>
    </row>
    <row r="45" spans="1:34">
      <c r="A45" s="20">
        <v>42</v>
      </c>
      <c r="B45" s="20">
        <v>126</v>
      </c>
      <c r="C45" s="20" t="s">
        <v>73</v>
      </c>
      <c r="D45" s="59" t="s">
        <v>135</v>
      </c>
      <c r="E45" s="59" t="s">
        <v>136</v>
      </c>
      <c r="F45" s="57"/>
      <c r="G45" s="57"/>
      <c r="H45" s="20">
        <v>6.0124686344489309E-2</v>
      </c>
      <c r="I45" s="20">
        <v>0.13758656153582449</v>
      </c>
      <c r="J45" s="20">
        <v>3.4964423698886381E-2</v>
      </c>
      <c r="K45" s="20">
        <v>5.0512373668102774E-2</v>
      </c>
      <c r="L45">
        <v>7.3252016593970931E-2</v>
      </c>
      <c r="M45">
        <v>2.5211490069605848E-2</v>
      </c>
      <c r="N45" s="20">
        <v>0.10828396595113766</v>
      </c>
      <c r="O45" s="20">
        <v>0.20096922794647656</v>
      </c>
      <c r="P45">
        <v>9.7205562798783132E-2</v>
      </c>
      <c r="Q45" s="87">
        <v>0.24951020687765446</v>
      </c>
      <c r="R45">
        <v>0.1142635300575655</v>
      </c>
      <c r="S45" s="20">
        <v>1.1834182306701958E-2</v>
      </c>
      <c r="T45" s="20"/>
      <c r="U45" s="20">
        <v>0.105</v>
      </c>
      <c r="V45" s="20">
        <v>3.7999999999999999E-2</v>
      </c>
      <c r="W45" s="20">
        <v>0.20100000000000001</v>
      </c>
      <c r="X45" s="20">
        <v>0.27300000000000002</v>
      </c>
      <c r="Y45">
        <v>3.4000000000000002E-2</v>
      </c>
      <c r="Z45">
        <v>4.2000000000000003E-2</v>
      </c>
      <c r="AA45">
        <v>0.29199999999999998</v>
      </c>
      <c r="AB45" s="20">
        <v>0.28100000000000003</v>
      </c>
      <c r="AC45" s="20">
        <v>0.20599999999999999</v>
      </c>
      <c r="AD45" s="20"/>
      <c r="AE45" s="54">
        <v>0.12393068469991547</v>
      </c>
      <c r="AF45" s="20">
        <v>7.1657969639468688E-2</v>
      </c>
      <c r="AG45" s="97">
        <v>0.16040305516370926</v>
      </c>
      <c r="AH45">
        <v>3.4150919467343055E-2</v>
      </c>
    </row>
    <row r="46" spans="1:34">
      <c r="A46" s="20">
        <v>43</v>
      </c>
      <c r="B46" s="20">
        <v>129</v>
      </c>
      <c r="C46" s="20" t="s">
        <v>73</v>
      </c>
      <c r="D46" s="59" t="s">
        <v>135</v>
      </c>
      <c r="E46" s="59" t="s">
        <v>136</v>
      </c>
      <c r="F46" s="57"/>
      <c r="G46" s="57"/>
      <c r="H46" s="20">
        <v>0.13496584324604594</v>
      </c>
      <c r="I46" s="20">
        <v>0.24119823899824983</v>
      </c>
      <c r="J46" s="20">
        <v>0.14727662103809375</v>
      </c>
      <c r="K46" s="20">
        <v>8.1282493989317917E-2</v>
      </c>
      <c r="L46">
        <v>0.1172141371110323</v>
      </c>
      <c r="M46">
        <v>4.22028538997892E-2</v>
      </c>
      <c r="N46" s="20">
        <v>0.22375265803523239</v>
      </c>
      <c r="O46" s="20">
        <v>0.38137425789287444</v>
      </c>
      <c r="P46">
        <v>0.26976531942633636</v>
      </c>
      <c r="Q46" s="87">
        <v>0.28721742704480063</v>
      </c>
      <c r="R46">
        <v>0.17544979812352385</v>
      </c>
      <c r="S46" s="20">
        <v>1.1313603032314299E-2</v>
      </c>
      <c r="T46" s="20"/>
      <c r="U46" s="20">
        <v>0.158</v>
      </c>
      <c r="V46" s="20">
        <v>6.4000000000000001E-2</v>
      </c>
      <c r="W46" s="20">
        <v>0.14399999999999999</v>
      </c>
      <c r="X46" s="20">
        <v>0.37</v>
      </c>
      <c r="Y46">
        <v>0.06</v>
      </c>
      <c r="Z46">
        <v>0.16</v>
      </c>
      <c r="AA46">
        <v>0.73299999999999998</v>
      </c>
      <c r="AB46" s="20">
        <v>0.251</v>
      </c>
      <c r="AC46" s="20">
        <v>0.30099999999999999</v>
      </c>
      <c r="AD46" s="20"/>
      <c r="AE46" s="54">
        <v>0.26528317836010146</v>
      </c>
      <c r="AF46" s="20">
        <v>0.11701217583807717</v>
      </c>
      <c r="AG46" s="97">
        <v>0.30549601049121111</v>
      </c>
      <c r="AH46">
        <v>0.14120989220038047</v>
      </c>
    </row>
    <row r="47" spans="1:34">
      <c r="A47" s="20">
        <v>44</v>
      </c>
      <c r="B47" s="20">
        <v>132</v>
      </c>
      <c r="C47" s="20" t="s">
        <v>69</v>
      </c>
      <c r="D47" s="59" t="s">
        <v>135</v>
      </c>
      <c r="E47" s="59" t="s">
        <v>136</v>
      </c>
      <c r="F47" s="57"/>
      <c r="G47" s="57"/>
      <c r="H47" s="20">
        <v>7.472969802023291E-2</v>
      </c>
      <c r="I47" s="20">
        <v>0.17145347599372102</v>
      </c>
      <c r="J47" s="20">
        <v>9.0028321183196106E-2</v>
      </c>
      <c r="K47" s="20">
        <v>5.5919513336452981E-2</v>
      </c>
      <c r="L47">
        <v>7.716117129828233E-2</v>
      </c>
      <c r="M47">
        <v>1.7899092541544301E-2</v>
      </c>
      <c r="N47" s="20">
        <v>7.4925965183802734E-2</v>
      </c>
      <c r="O47" s="20">
        <v>0.33711361283304719</v>
      </c>
      <c r="P47">
        <v>0.1483012216910522</v>
      </c>
      <c r="Q47" s="87">
        <v>0.23442594876010411</v>
      </c>
      <c r="R47">
        <v>0.10221811326750979</v>
      </c>
      <c r="S47" s="20">
        <v>2.5857036616474614E-2</v>
      </c>
      <c r="T47" s="20"/>
      <c r="U47" s="20">
        <v>0.107</v>
      </c>
      <c r="V47" s="20">
        <v>4.7E-2</v>
      </c>
      <c r="W47" s="20">
        <v>9.9000000000000005E-2</v>
      </c>
      <c r="X47" s="20">
        <v>0.253</v>
      </c>
      <c r="Y47">
        <v>5.2999999999999999E-2</v>
      </c>
      <c r="Z47">
        <v>7.6999999999999999E-2</v>
      </c>
      <c r="AA47">
        <v>0.54600000000000004</v>
      </c>
      <c r="AB47" s="20">
        <v>0.24</v>
      </c>
      <c r="AC47" s="20">
        <v>0.2</v>
      </c>
      <c r="AD47" s="20"/>
      <c r="AE47" s="54">
        <v>0.19004649196956888</v>
      </c>
      <c r="AF47" s="20">
        <v>7.7025616698292221E-2</v>
      </c>
      <c r="AG47" s="97">
        <v>0.19397646485277603</v>
      </c>
      <c r="AH47">
        <v>8.837412809131262E-2</v>
      </c>
    </row>
    <row r="48" spans="1:34">
      <c r="A48" s="20">
        <v>45</v>
      </c>
      <c r="B48" s="20">
        <v>135</v>
      </c>
      <c r="C48" s="20" t="s">
        <v>69</v>
      </c>
      <c r="D48" s="59" t="s">
        <v>135</v>
      </c>
      <c r="E48" s="59" t="s">
        <v>136</v>
      </c>
      <c r="F48" s="57"/>
      <c r="G48" s="57"/>
      <c r="H48" s="20">
        <v>5.6580558846126186E-2</v>
      </c>
      <c r="I48" s="20">
        <v>0.10130534254731791</v>
      </c>
      <c r="J48" s="20">
        <v>0.10129403332109579</v>
      </c>
      <c r="K48" s="20">
        <v>8.0379197392412824E-2</v>
      </c>
      <c r="L48">
        <v>6.7598585594588367E-2</v>
      </c>
      <c r="M48">
        <v>2.2086313652715468E-2</v>
      </c>
      <c r="N48" s="20">
        <v>0.10577230961314613</v>
      </c>
      <c r="O48" s="20">
        <v>0.28161461541485916</v>
      </c>
      <c r="P48">
        <v>0.1464513013665556</v>
      </c>
      <c r="Q48" s="87">
        <v>0.23756678997122893</v>
      </c>
      <c r="R48">
        <v>9.7190341709341224E-2</v>
      </c>
      <c r="S48" s="20">
        <v>1.7676505161811393E-2</v>
      </c>
      <c r="T48" s="20"/>
      <c r="U48" s="20">
        <v>4.5999999999999999E-2</v>
      </c>
      <c r="V48" s="20">
        <v>6.4000000000000001E-2</v>
      </c>
      <c r="W48" s="20">
        <v>0.109</v>
      </c>
      <c r="X48" s="20">
        <v>0.16400000000000001</v>
      </c>
      <c r="Y48">
        <v>0.06</v>
      </c>
      <c r="Z48">
        <v>3.2000000000000001E-2</v>
      </c>
      <c r="AA48">
        <v>0.57699999999999996</v>
      </c>
      <c r="AB48" s="20">
        <v>0.254</v>
      </c>
      <c r="AC48" s="20">
        <v>0.17</v>
      </c>
      <c r="AD48" s="20"/>
      <c r="AE48" s="54">
        <v>0.16135249366018597</v>
      </c>
      <c r="AF48" s="20">
        <v>7.4336654016445292E-2</v>
      </c>
      <c r="AG48" s="97">
        <v>0.16725150042198184</v>
      </c>
      <c r="AH48">
        <v>8.0841471147748881E-2</v>
      </c>
    </row>
    <row r="49" spans="1:34">
      <c r="A49" s="20">
        <v>46</v>
      </c>
      <c r="B49" s="20">
        <v>138</v>
      </c>
      <c r="C49" s="20" t="s">
        <v>69</v>
      </c>
      <c r="D49" s="59" t="s">
        <v>135</v>
      </c>
      <c r="E49" s="59" t="s">
        <v>136</v>
      </c>
      <c r="F49" s="57"/>
      <c r="G49" s="57"/>
      <c r="H49" s="20">
        <v>2.243288812858835E-2</v>
      </c>
      <c r="I49" s="20">
        <v>6.8162387456471143E-2</v>
      </c>
      <c r="J49" s="20">
        <v>6.9438820999632875E-2</v>
      </c>
      <c r="K49" s="20">
        <v>7.7517628644732384E-2</v>
      </c>
      <c r="L49">
        <v>4.5501005507353469E-2</v>
      </c>
      <c r="M49">
        <v>9.8463146136244881E-3</v>
      </c>
      <c r="N49" s="20">
        <v>9.8068331826842423E-2</v>
      </c>
      <c r="O49" s="20">
        <v>0.18763823178643041</v>
      </c>
      <c r="P49">
        <v>0.10095514027717417</v>
      </c>
      <c r="Q49" s="87">
        <v>0.21217632552404439</v>
      </c>
      <c r="R49">
        <v>6.3949700616102459E-2</v>
      </c>
      <c r="S49" s="20">
        <v>1.4078830575835847E-2</v>
      </c>
      <c r="T49" s="20"/>
      <c r="U49" s="20">
        <v>0.105</v>
      </c>
      <c r="V49" s="20">
        <v>7.2999999999999995E-2</v>
      </c>
      <c r="W49" s="20">
        <v>0.246</v>
      </c>
      <c r="X49" s="20">
        <v>0.188</v>
      </c>
      <c r="Y49">
        <v>5.0999999999999997E-2</v>
      </c>
      <c r="Z49">
        <v>2.5999999999999999E-2</v>
      </c>
      <c r="AA49">
        <v>0.33200000000000002</v>
      </c>
      <c r="AB49" s="20">
        <v>0.23100000000000001</v>
      </c>
      <c r="AC49" s="20">
        <v>0.14799999999999999</v>
      </c>
      <c r="AD49" s="20"/>
      <c r="AE49" s="54">
        <v>0.10475063398140323</v>
      </c>
      <c r="AF49" s="20">
        <v>8.3068469323213157E-2</v>
      </c>
      <c r="AG49" s="97">
        <v>0.10350368987895105</v>
      </c>
      <c r="AH49">
        <v>5.8357641090678508E-2</v>
      </c>
    </row>
    <row r="50" spans="1:34">
      <c r="A50" s="20">
        <v>47</v>
      </c>
      <c r="B50" s="20">
        <v>141</v>
      </c>
      <c r="C50" s="20" t="s">
        <v>69</v>
      </c>
      <c r="D50" s="59" t="s">
        <v>135</v>
      </c>
      <c r="E50" s="59" t="s">
        <v>136</v>
      </c>
      <c r="F50" s="57"/>
      <c r="G50" s="57"/>
      <c r="H50" s="20">
        <v>4.4039599126495424E-2</v>
      </c>
      <c r="I50" s="20">
        <v>5.5768471573173592E-2</v>
      </c>
      <c r="J50" s="20">
        <v>6.3698187094631209E-2</v>
      </c>
      <c r="K50" s="20">
        <v>5.9059429106223679E-2</v>
      </c>
      <c r="L50">
        <v>4.4915009211984755E-2</v>
      </c>
      <c r="M50">
        <v>1.5151253085418807E-2</v>
      </c>
      <c r="N50" s="20">
        <v>9.3862881147620925E-2</v>
      </c>
      <c r="O50" s="20">
        <v>0.20453455303199086</v>
      </c>
      <c r="P50">
        <v>6.7894876623690176E-2</v>
      </c>
      <c r="Q50" s="87">
        <v>0.18473078503904644</v>
      </c>
      <c r="R50">
        <v>7.8174227705108665E-2</v>
      </c>
      <c r="S50" s="20">
        <v>1.4202778022118622E-2</v>
      </c>
      <c r="T50" s="20"/>
      <c r="U50" s="20">
        <v>5.3999999999999999E-2</v>
      </c>
      <c r="V50" s="20">
        <v>5.0999999999999997E-2</v>
      </c>
      <c r="W50" s="20">
        <v>0.11700000000000001</v>
      </c>
      <c r="X50" s="20">
        <v>0.12</v>
      </c>
      <c r="Y50">
        <v>4.9000000000000002E-2</v>
      </c>
      <c r="Z50">
        <v>3.1E-2</v>
      </c>
      <c r="AA50">
        <v>0.224</v>
      </c>
      <c r="AB50" s="20">
        <v>0.26900000000000002</v>
      </c>
      <c r="AC50" s="20">
        <v>0.158</v>
      </c>
      <c r="AD50" s="20"/>
      <c r="AE50" s="54">
        <v>6.1056635672020299E-2</v>
      </c>
      <c r="AF50" s="20">
        <v>5.5929791271347243E-2</v>
      </c>
      <c r="AG50" s="97">
        <v>8.93780464892171E-2</v>
      </c>
      <c r="AH50">
        <v>2.1329740012682306E-2</v>
      </c>
    </row>
    <row r="51" spans="1:34">
      <c r="A51" s="20">
        <v>48</v>
      </c>
      <c r="B51" s="20">
        <v>144</v>
      </c>
      <c r="C51" s="20" t="s">
        <v>69</v>
      </c>
      <c r="D51" s="59" t="s">
        <v>135</v>
      </c>
      <c r="E51" s="59" t="s">
        <v>136</v>
      </c>
      <c r="F51" s="57"/>
      <c r="G51" s="57"/>
      <c r="H51" s="20">
        <v>4.2401967277640479E-2</v>
      </c>
      <c r="I51" s="20">
        <v>6.9617992530177003E-2</v>
      </c>
      <c r="J51" s="20">
        <v>3.4964423698886381E-2</v>
      </c>
      <c r="K51" s="20">
        <v>4.3420091545242824E-2</v>
      </c>
      <c r="L51">
        <v>4.9858906613039614E-2</v>
      </c>
      <c r="M51">
        <v>1.1890258184242292E-2</v>
      </c>
      <c r="N51" s="20">
        <v>9.0946553170458896E-2</v>
      </c>
      <c r="O51" s="20">
        <v>0.2010732867646095</v>
      </c>
      <c r="P51">
        <v>5.3270317253368109E-2</v>
      </c>
      <c r="Q51" s="87">
        <v>0.20977873681326209</v>
      </c>
      <c r="R51">
        <v>7.8014604444893859E-2</v>
      </c>
      <c r="S51" s="20">
        <v>1.4050842442804252E-2</v>
      </c>
      <c r="T51" s="20"/>
      <c r="U51" s="20">
        <v>8.5999999999999993E-2</v>
      </c>
      <c r="V51" s="20">
        <v>3.4000000000000002E-2</v>
      </c>
      <c r="W51" s="20">
        <v>0.13800000000000001</v>
      </c>
      <c r="X51" s="20">
        <v>0.18099999999999999</v>
      </c>
      <c r="Y51">
        <v>3.9E-2</v>
      </c>
      <c r="Z51">
        <v>2.1000000000000001E-2</v>
      </c>
      <c r="AA51">
        <v>0.154</v>
      </c>
      <c r="AB51" s="20">
        <v>0.23</v>
      </c>
      <c r="AC51" s="20">
        <v>0.155</v>
      </c>
      <c r="AD51" s="20"/>
      <c r="AE51" s="54">
        <v>4.3237531699070159E-2</v>
      </c>
      <c r="AF51" s="20">
        <v>4.9784946236559144E-2</v>
      </c>
      <c r="AG51" s="97">
        <v>9.0987704570283087E-2</v>
      </c>
      <c r="AH51">
        <v>2.1562460367786935E-2</v>
      </c>
    </row>
    <row r="52" spans="1:34">
      <c r="A52" s="20">
        <v>49</v>
      </c>
      <c r="B52" s="20">
        <v>147</v>
      </c>
      <c r="C52" s="20" t="s">
        <v>69</v>
      </c>
      <c r="D52" s="20"/>
      <c r="E52" s="20"/>
      <c r="F52" s="57"/>
      <c r="G52" s="57"/>
      <c r="H52" s="20">
        <v>4.525247612811905E-2</v>
      </c>
      <c r="I52" s="20">
        <v>7.1578658679609553E-2</v>
      </c>
      <c r="J52" s="20">
        <v>5.7380465376479436E-2</v>
      </c>
      <c r="K52" s="20">
        <v>4.8125097488691308E-2</v>
      </c>
      <c r="L52">
        <v>5.1277031534000039E-2</v>
      </c>
      <c r="M52">
        <v>1.7001423346485776E-2</v>
      </c>
      <c r="N52" s="20">
        <v>8.359593962764747E-2</v>
      </c>
      <c r="O52" s="20">
        <v>0.18516388608573711</v>
      </c>
      <c r="P52">
        <v>8.4694577236950119E-2</v>
      </c>
      <c r="Q52" s="87">
        <v>0.19774626661186465</v>
      </c>
      <c r="R52">
        <v>7.8083943055665905E-2</v>
      </c>
      <c r="S52" s="20">
        <v>9.409610325222105E-3</v>
      </c>
      <c r="T52" s="20"/>
      <c r="U52" s="20">
        <v>0.108</v>
      </c>
      <c r="V52" s="20">
        <v>4.4999999999999998E-2</v>
      </c>
      <c r="W52" s="20">
        <v>0.159</v>
      </c>
      <c r="X52" s="20">
        <v>0.20300000000000001</v>
      </c>
      <c r="Y52">
        <v>3.5000000000000003E-2</v>
      </c>
      <c r="Z52">
        <v>3.1E-2</v>
      </c>
      <c r="AA52">
        <v>0.222</v>
      </c>
      <c r="AB52" s="88">
        <v>0.98699999999999999</v>
      </c>
      <c r="AC52" s="20">
        <v>0.184</v>
      </c>
      <c r="AD52" s="20"/>
      <c r="AE52" s="54">
        <v>4.3858833474218095E-2</v>
      </c>
      <c r="AF52" s="20">
        <v>6.4149272612270714E-2</v>
      </c>
      <c r="AG52" s="97">
        <v>9.4470522636257701E-2</v>
      </c>
      <c r="AH52">
        <v>1.9680405833861766E-2</v>
      </c>
    </row>
    <row r="53" spans="1:34" ht="17.100000000000001" thickBot="1">
      <c r="A53" s="62">
        <v>50</v>
      </c>
      <c r="B53" s="62">
        <v>150</v>
      </c>
      <c r="C53" s="62" t="s">
        <v>69</v>
      </c>
      <c r="D53" s="20"/>
      <c r="E53" s="20"/>
      <c r="F53" s="63"/>
      <c r="G53" s="63"/>
      <c r="H53" s="62">
        <v>4.4236572894865323E-2</v>
      </c>
      <c r="I53" s="62">
        <v>8.4525377550836292E-2</v>
      </c>
      <c r="J53" s="62">
        <v>3.4964423698886381E-2</v>
      </c>
      <c r="K53" s="62">
        <v>3.5348350625810168E-2</v>
      </c>
      <c r="L53">
        <v>4.2801509624850291E-2</v>
      </c>
      <c r="M53">
        <v>1.9331958032298556E-2</v>
      </c>
      <c r="N53" s="62">
        <v>0.10452519524772562</v>
      </c>
      <c r="O53" s="62">
        <v>0.18835819037259346</v>
      </c>
      <c r="P53">
        <v>2.0066396252836932E-2</v>
      </c>
      <c r="Q53" s="91">
        <v>0.18248390190437044</v>
      </c>
      <c r="R53">
        <v>8.4184296249214516E-2</v>
      </c>
      <c r="S53" s="62">
        <v>7.6071745579874136E-3</v>
      </c>
      <c r="T53" s="62"/>
      <c r="U53" s="62">
        <v>0.108</v>
      </c>
      <c r="V53" s="62">
        <v>2.3E-2</v>
      </c>
      <c r="W53" s="62">
        <v>0.17799999999999999</v>
      </c>
      <c r="X53" s="62">
        <v>0.223</v>
      </c>
      <c r="Y53">
        <v>1.7999999999999999E-2</v>
      </c>
      <c r="Z53">
        <v>1.7000000000000001E-2</v>
      </c>
      <c r="AA53">
        <v>0.14399999999999999</v>
      </c>
      <c r="AB53" s="90">
        <v>0.82699999999999996</v>
      </c>
      <c r="AC53" s="62">
        <v>0.17499999999999999</v>
      </c>
      <c r="AD53" s="62"/>
      <c r="AE53" s="54">
        <v>4.3199492814877428E-2</v>
      </c>
      <c r="AF53" s="62">
        <v>5.5051391524351678E-2</v>
      </c>
      <c r="AG53" s="97">
        <v>9.1344485674587583E-2</v>
      </c>
      <c r="AH53">
        <v>3.3740012682308175E-2</v>
      </c>
    </row>
    <row r="54" spans="1:34">
      <c r="A54" s="65"/>
      <c r="B54" s="66" t="s">
        <v>137</v>
      </c>
      <c r="C54" s="67" t="s">
        <v>159</v>
      </c>
      <c r="D54" s="67"/>
      <c r="E54" s="67"/>
      <c r="F54" s="67"/>
      <c r="G54" s="67"/>
      <c r="H54" s="67">
        <f t="shared" ref="H54:AH54" si="0">IFERROR(IF(AVERAGE(H4:H6)=0,"",AVERAGE(H4:H6)),"")</f>
        <v>5.3578088710420108E-2</v>
      </c>
      <c r="I54" s="67">
        <f t="shared" si="0"/>
        <v>0.12713718131461668</v>
      </c>
      <c r="J54" s="67">
        <f t="shared" si="0"/>
        <v>3.9102772695221E-2</v>
      </c>
      <c r="K54" s="67">
        <f t="shared" si="0"/>
        <v>5.1130259234756358E-2</v>
      </c>
      <c r="L54" s="67">
        <f t="shared" si="0"/>
        <v>7.9052260759093995E-2</v>
      </c>
      <c r="M54" s="67">
        <f t="shared" si="0"/>
        <v>1.9896742318233046E-2</v>
      </c>
      <c r="N54" s="67">
        <f t="shared" si="0"/>
        <v>3.9055831203653725E-2</v>
      </c>
      <c r="O54" s="67">
        <f t="shared" si="0"/>
        <v>0.11185326920304574</v>
      </c>
      <c r="P54" s="67">
        <f t="shared" si="0"/>
        <v>5.3461699422151399E-2</v>
      </c>
      <c r="Q54" s="68">
        <f t="shared" si="0"/>
        <v>0.16598278302963876</v>
      </c>
      <c r="R54" s="67">
        <f t="shared" si="0"/>
        <v>7.6822847072249387E-2</v>
      </c>
      <c r="S54" s="67">
        <f t="shared" si="0"/>
        <v>1.4822515253532502E-2</v>
      </c>
      <c r="T54" s="67"/>
      <c r="U54" s="67">
        <f t="shared" si="0"/>
        <v>0.11900000000000001</v>
      </c>
      <c r="V54" s="67">
        <f t="shared" si="0"/>
        <v>3.9333333333333331E-2</v>
      </c>
      <c r="W54" s="67">
        <f t="shared" si="0"/>
        <v>0.12366666666666666</v>
      </c>
      <c r="X54" s="67">
        <f t="shared" si="0"/>
        <v>0.26433333333333336</v>
      </c>
      <c r="Y54" s="67">
        <f t="shared" si="0"/>
        <v>2.7666666666666669E-2</v>
      </c>
      <c r="Z54" s="67">
        <f t="shared" si="0"/>
        <v>3.2333333333333332E-2</v>
      </c>
      <c r="AA54" s="67">
        <f t="shared" si="0"/>
        <v>0.17233333333333334</v>
      </c>
      <c r="AB54" s="67">
        <f t="shared" si="0"/>
        <v>0.17</v>
      </c>
      <c r="AC54" s="67">
        <f t="shared" si="0"/>
        <v>0.18266666666666667</v>
      </c>
      <c r="AD54" s="67" t="str">
        <f t="shared" si="0"/>
        <v/>
      </c>
      <c r="AE54" s="68">
        <f t="shared" si="0"/>
        <v>6.4032121724429429E-3</v>
      </c>
      <c r="AF54" s="67">
        <f t="shared" si="0"/>
        <v>6.8591081593927891E-2</v>
      </c>
      <c r="AG54" s="100">
        <f t="shared" si="0"/>
        <v>0.2154587752021144</v>
      </c>
      <c r="AH54" s="67">
        <f t="shared" si="0"/>
        <v>4.2859437751004016E-2</v>
      </c>
    </row>
    <row r="55" spans="1:34">
      <c r="A55" s="70"/>
      <c r="B55" s="92" t="s">
        <v>154</v>
      </c>
      <c r="C55" s="72" t="s">
        <v>140</v>
      </c>
      <c r="D55" s="73"/>
      <c r="E55" s="73"/>
      <c r="F55" s="73"/>
      <c r="G55" s="73"/>
      <c r="H55" s="74">
        <f t="shared" ref="H55:AH55" si="1">IFERROR(IF(AVERAGE(H4:H6)=0,"",AVERAGE(H4:H5)),"")</f>
        <v>5.6249039636973308E-2</v>
      </c>
      <c r="I55" s="74">
        <f t="shared" si="1"/>
        <v>0.13757079190949606</v>
      </c>
      <c r="J55" s="74">
        <f t="shared" si="1"/>
        <v>3.3265879117655363E-2</v>
      </c>
      <c r="K55" s="74">
        <f t="shared" si="1"/>
        <v>5.3523738832502332E-2</v>
      </c>
      <c r="L55" s="74">
        <f t="shared" si="1"/>
        <v>8.1206770002901218E-2</v>
      </c>
      <c r="M55" s="74">
        <f t="shared" si="1"/>
        <v>1.9234575908809733E-2</v>
      </c>
      <c r="N55" s="74">
        <f t="shared" si="1"/>
        <v>3.8808875073969781E-2</v>
      </c>
      <c r="O55" s="74">
        <f t="shared" si="1"/>
        <v>0.11862177764963369</v>
      </c>
      <c r="P55" s="74">
        <f t="shared" si="1"/>
        <v>5.6908228306533387E-2</v>
      </c>
      <c r="Q55" s="75">
        <f t="shared" si="1"/>
        <v>0.16898376489930128</v>
      </c>
      <c r="R55" s="74">
        <f t="shared" si="1"/>
        <v>7.88636412882536E-2</v>
      </c>
      <c r="S55" s="74">
        <f t="shared" si="1"/>
        <v>1.3982471432112783E-2</v>
      </c>
      <c r="T55" s="74"/>
      <c r="U55" s="74">
        <f t="shared" si="1"/>
        <v>0.13900000000000001</v>
      </c>
      <c r="V55" s="74">
        <f t="shared" si="1"/>
        <v>3.85E-2</v>
      </c>
      <c r="W55" s="74">
        <f t="shared" si="1"/>
        <v>0.13950000000000001</v>
      </c>
      <c r="X55" s="74">
        <f t="shared" si="1"/>
        <v>0.29100000000000004</v>
      </c>
      <c r="Y55" s="74">
        <f t="shared" si="1"/>
        <v>2.7000000000000003E-2</v>
      </c>
      <c r="Z55" s="74">
        <f t="shared" si="1"/>
        <v>3.2500000000000001E-2</v>
      </c>
      <c r="AA55" s="74">
        <f t="shared" si="1"/>
        <v>0.17349999999999999</v>
      </c>
      <c r="AB55" s="74">
        <f t="shared" si="1"/>
        <v>0.17099999999999999</v>
      </c>
      <c r="AC55" s="74">
        <f t="shared" si="1"/>
        <v>0.191</v>
      </c>
      <c r="AD55" s="74" t="str">
        <f t="shared" si="1"/>
        <v/>
      </c>
      <c r="AE55" s="75">
        <f t="shared" si="1"/>
        <v>6.5701606086221477E-3</v>
      </c>
      <c r="AF55" s="74">
        <f t="shared" si="1"/>
        <v>6.8040006325110688E-2</v>
      </c>
      <c r="AG55" s="101">
        <f t="shared" si="1"/>
        <v>0.21574472882552678</v>
      </c>
      <c r="AH55" s="74">
        <f t="shared" si="1"/>
        <v>4.4602092580849712E-2</v>
      </c>
    </row>
    <row r="56" spans="1:34">
      <c r="A56" s="70"/>
      <c r="B56" s="93" t="s">
        <v>155</v>
      </c>
      <c r="C56" s="72" t="s">
        <v>156</v>
      </c>
      <c r="D56" s="73"/>
      <c r="E56" s="73"/>
      <c r="F56" s="73"/>
      <c r="G56" s="73"/>
      <c r="H56" s="94">
        <f t="shared" ref="H56:AH56" si="2">IFERROR(IF(AVERAGE(H4:H6)=0,"",(MIN(H4:H17))),"")</f>
        <v>2.6619143677878158E-2</v>
      </c>
      <c r="I56" s="94">
        <f t="shared" si="2"/>
        <v>6.1898020677336123E-2</v>
      </c>
      <c r="J56" s="94">
        <f t="shared" si="2"/>
        <v>3.1567334536424345E-2</v>
      </c>
      <c r="K56" s="94">
        <f t="shared" si="2"/>
        <v>2.8740311641091015E-2</v>
      </c>
      <c r="L56" s="94">
        <f t="shared" si="2"/>
        <v>5.7680687563696598E-2</v>
      </c>
      <c r="M56" s="94">
        <f t="shared" si="2"/>
        <v>1.2671747473109563E-2</v>
      </c>
      <c r="N56" s="94">
        <f t="shared" si="2"/>
        <v>3.1696460505010432E-2</v>
      </c>
      <c r="O56" s="94">
        <f t="shared" si="2"/>
        <v>5.8330602990708108E-2</v>
      </c>
      <c r="P56" s="94">
        <f t="shared" si="2"/>
        <v>1.9415230093196196E-2</v>
      </c>
      <c r="Q56" s="75">
        <f t="shared" si="2"/>
        <v>0.11455336347444856</v>
      </c>
      <c r="R56" s="94">
        <f t="shared" si="2"/>
        <v>4.9964247278820671E-2</v>
      </c>
      <c r="S56" s="94">
        <f t="shared" si="2"/>
        <v>7.9374345277602298E-3</v>
      </c>
      <c r="T56" s="94"/>
      <c r="U56" s="94">
        <f t="shared" si="2"/>
        <v>3.5999999999999997E-2</v>
      </c>
      <c r="V56" s="94">
        <f t="shared" si="2"/>
        <v>5.0000000000000001E-3</v>
      </c>
      <c r="W56" s="94">
        <f t="shared" si="2"/>
        <v>5.3999999999999999E-2</v>
      </c>
      <c r="X56" s="94">
        <f t="shared" si="2"/>
        <v>0.16900000000000001</v>
      </c>
      <c r="Y56" s="94">
        <f t="shared" si="2"/>
        <v>0.01</v>
      </c>
      <c r="Z56" s="94">
        <f t="shared" si="2"/>
        <v>8.9999999999999993E-3</v>
      </c>
      <c r="AA56" s="94">
        <f t="shared" si="2"/>
        <v>9.4E-2</v>
      </c>
      <c r="AB56" s="94">
        <f t="shared" si="2"/>
        <v>0.13600000000000001</v>
      </c>
      <c r="AC56" s="94">
        <f t="shared" si="2"/>
        <v>0.122</v>
      </c>
      <c r="AD56" s="94" t="str">
        <f t="shared" si="2"/>
        <v/>
      </c>
      <c r="AE56" s="75">
        <f t="shared" si="2"/>
        <v>6.0693153000845315E-3</v>
      </c>
      <c r="AF56" s="94">
        <f t="shared" si="2"/>
        <v>3.7466002530044278E-2</v>
      </c>
      <c r="AG56" s="101">
        <f t="shared" si="2"/>
        <v>0.17139319162218306</v>
      </c>
      <c r="AH56" s="94">
        <f t="shared" si="2"/>
        <v>2.8051997463538366E-2</v>
      </c>
    </row>
    <row r="57" spans="1:34">
      <c r="A57" s="70"/>
      <c r="B57" s="72"/>
      <c r="C57" s="72" t="s">
        <v>157</v>
      </c>
      <c r="D57" s="73"/>
      <c r="E57" s="73"/>
      <c r="F57" s="73"/>
      <c r="G57" s="73"/>
      <c r="H57" s="73">
        <f t="shared" ref="H57:AH57" si="3">IFERROR(IF(AVERAGE(H4:H6)=0,"",(-(H56/H55))),"")</f>
        <v>-0.47323730057750196</v>
      </c>
      <c r="I57" s="73">
        <f t="shared" si="3"/>
        <v>-0.4499357735620006</v>
      </c>
      <c r="J57" s="73">
        <f t="shared" si="3"/>
        <v>-0.94894033687720758</v>
      </c>
      <c r="K57" s="73">
        <f t="shared" si="3"/>
        <v>-0.53696382704188894</v>
      </c>
      <c r="L57" s="73">
        <f t="shared" si="3"/>
        <v>-0.71029407476292772</v>
      </c>
      <c r="M57" s="73">
        <f t="shared" si="3"/>
        <v>-0.65880046085683164</v>
      </c>
      <c r="N57" s="73">
        <f t="shared" si="3"/>
        <v>-0.81673226664253795</v>
      </c>
      <c r="O57" s="73">
        <f t="shared" si="3"/>
        <v>-0.49173603824245365</v>
      </c>
      <c r="P57" s="73">
        <f t="shared" si="3"/>
        <v>-0.341167361398373</v>
      </c>
      <c r="Q57" s="78">
        <f t="shared" si="3"/>
        <v>-0.67789567561541653</v>
      </c>
      <c r="R57" s="73">
        <f t="shared" si="3"/>
        <v>-0.63355237550085874</v>
      </c>
      <c r="S57" s="73">
        <f t="shared" si="3"/>
        <v>-0.56767035543736244</v>
      </c>
      <c r="T57" s="73"/>
      <c r="U57" s="73">
        <f t="shared" si="3"/>
        <v>-0.25899280575539563</v>
      </c>
      <c r="V57" s="73">
        <f t="shared" si="3"/>
        <v>-0.12987012987012989</v>
      </c>
      <c r="W57" s="73">
        <f t="shared" si="3"/>
        <v>-0.38709677419354832</v>
      </c>
      <c r="X57" s="73">
        <f t="shared" si="3"/>
        <v>-0.5807560137457044</v>
      </c>
      <c r="Y57" s="73">
        <f t="shared" si="3"/>
        <v>-0.37037037037037035</v>
      </c>
      <c r="Z57" s="73">
        <f t="shared" si="3"/>
        <v>-0.27692307692307688</v>
      </c>
      <c r="AA57" s="73">
        <f t="shared" si="3"/>
        <v>-0.54178674351585021</v>
      </c>
      <c r="AB57" s="73">
        <f t="shared" si="3"/>
        <v>-0.79532163742690076</v>
      </c>
      <c r="AC57" s="73">
        <f t="shared" si="3"/>
        <v>-0.63874345549738221</v>
      </c>
      <c r="AD57" s="73" t="str">
        <f t="shared" si="3"/>
        <v/>
      </c>
      <c r="AE57" s="78">
        <f t="shared" si="3"/>
        <v>-0.92376970086844645</v>
      </c>
      <c r="AF57" s="73">
        <f t="shared" si="3"/>
        <v>-0.55064666442009369</v>
      </c>
      <c r="AG57" s="102">
        <f t="shared" si="3"/>
        <v>-0.79442585946463184</v>
      </c>
      <c r="AH57" s="73">
        <f t="shared" si="3"/>
        <v>-0.62893904389550392</v>
      </c>
    </row>
    <row r="58" spans="1:34">
      <c r="B58" t="s">
        <v>144</v>
      </c>
      <c r="U58">
        <v>-0.59789999999999999</v>
      </c>
      <c r="V58">
        <v>-0.54339999999999999</v>
      </c>
      <c r="W58">
        <v>-1.3919999999999999</v>
      </c>
      <c r="X58">
        <v>0.51670000000000005</v>
      </c>
      <c r="Y58">
        <v>-0.44259999999999999</v>
      </c>
      <c r="Z58">
        <v>-0.77549999999999997</v>
      </c>
      <c r="AA58">
        <v>-2.7549999999999999</v>
      </c>
      <c r="AB58">
        <v>-1.484</v>
      </c>
      <c r="AC58">
        <v>-0.96099999999999997</v>
      </c>
      <c r="AE58" s="54">
        <v>2.1339999999999999</v>
      </c>
      <c r="AF58">
        <v>-0.83150000000000002</v>
      </c>
      <c r="AG58" s="97">
        <v>2.495E-2</v>
      </c>
      <c r="AH58">
        <v>-0.29249999999999998</v>
      </c>
    </row>
    <row r="59" spans="1:34">
      <c r="B59" t="s">
        <v>147</v>
      </c>
      <c r="U59">
        <v>0.76949999999999996</v>
      </c>
      <c r="V59">
        <v>0.37069999999999997</v>
      </c>
      <c r="W59">
        <v>0.76380000000000003</v>
      </c>
      <c r="X59">
        <v>1.7250000000000001</v>
      </c>
      <c r="Y59">
        <v>0.33450000000000002</v>
      </c>
      <c r="Z59">
        <v>1.0389999999999999</v>
      </c>
      <c r="AA59">
        <v>2.8919999999999999</v>
      </c>
      <c r="AB59">
        <v>0.49199999999999999</v>
      </c>
      <c r="AC59">
        <v>0.37830000000000003</v>
      </c>
      <c r="AE59" s="54">
        <v>0.77459999999999996</v>
      </c>
      <c r="AF59">
        <v>0.2535</v>
      </c>
      <c r="AG59" s="97">
        <v>0</v>
      </c>
      <c r="AH59">
        <v>0.35349999999999998</v>
      </c>
    </row>
    <row r="60" spans="1:34">
      <c r="B60" t="s">
        <v>148</v>
      </c>
      <c r="U60">
        <v>1.9950000000000001</v>
      </c>
      <c r="V60">
        <v>0.82050000000000001</v>
      </c>
      <c r="W60">
        <v>0.8639</v>
      </c>
      <c r="X60">
        <v>0.93210000000000004</v>
      </c>
      <c r="Y60">
        <v>0.81089999999999995</v>
      </c>
      <c r="Z60">
        <v>1.31</v>
      </c>
      <c r="AA60">
        <v>3.4079999999999999</v>
      </c>
      <c r="AB60">
        <v>0.46179999999999999</v>
      </c>
      <c r="AC60">
        <v>1.246</v>
      </c>
      <c r="AE60" s="54">
        <v>0</v>
      </c>
      <c r="AF60">
        <v>0.25769999999999998</v>
      </c>
      <c r="AG60" s="97">
        <v>1.883</v>
      </c>
      <c r="AH60">
        <v>0.52229999999999999</v>
      </c>
    </row>
    <row r="61" spans="1:34">
      <c r="B61" t="s">
        <v>149</v>
      </c>
      <c r="U61">
        <v>0.38179999999999997</v>
      </c>
      <c r="V61">
        <v>0.69259999999999999</v>
      </c>
      <c r="W61">
        <v>0.22850000000000001</v>
      </c>
      <c r="X61">
        <v>0.93600000000000005</v>
      </c>
      <c r="Y61">
        <v>0.39800000000000002</v>
      </c>
      <c r="Z61">
        <v>0.8075</v>
      </c>
      <c r="AA61">
        <v>5.851</v>
      </c>
      <c r="AB61">
        <v>0.44479999999999997</v>
      </c>
      <c r="AC61">
        <v>0.78490000000000004</v>
      </c>
      <c r="AE61" s="54">
        <v>2.125</v>
      </c>
      <c r="AF61">
        <v>0.53220000000000001</v>
      </c>
      <c r="AG61" s="97">
        <v>1.4610000000000001</v>
      </c>
      <c r="AH61">
        <v>0.96399999999999997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A14-1C1A-4941-AD6A-51AE5E3F5CA7}">
  <dimension ref="A1:G33"/>
  <sheetViews>
    <sheetView workbookViewId="0">
      <selection activeCell="C25" sqref="C25:C26"/>
    </sheetView>
  </sheetViews>
  <sheetFormatPr defaultColWidth="11" defaultRowHeight="15.95"/>
  <cols>
    <col min="1" max="1" width="24.5" bestFit="1" customWidth="1"/>
    <col min="3" max="3" width="12.125" bestFit="1" customWidth="1"/>
    <col min="4" max="4" width="13.875" bestFit="1" customWidth="1"/>
    <col min="5" max="5" width="12.375" bestFit="1" customWidth="1"/>
    <col min="6" max="6" width="12.125" bestFit="1" customWidth="1"/>
  </cols>
  <sheetData>
    <row r="1" spans="1:7">
      <c r="A1" s="104" t="s">
        <v>160</v>
      </c>
      <c r="B1" s="104" t="s">
        <v>161</v>
      </c>
      <c r="C1" s="104" t="s">
        <v>162</v>
      </c>
      <c r="D1" s="104" t="s">
        <v>163</v>
      </c>
      <c r="E1" s="104" t="s">
        <v>164</v>
      </c>
      <c r="F1" s="104" t="s">
        <v>165</v>
      </c>
    </row>
    <row r="2" spans="1:7">
      <c r="A2" s="112" t="s">
        <v>104</v>
      </c>
      <c r="B2" s="113" t="s">
        <v>166</v>
      </c>
      <c r="C2" s="113">
        <v>21.824797799999999</v>
      </c>
      <c r="D2" s="113"/>
      <c r="E2" s="113">
        <v>1928.634532</v>
      </c>
      <c r="F2" s="113"/>
    </row>
    <row r="3" spans="1:7">
      <c r="A3" s="114" t="s">
        <v>105</v>
      </c>
      <c r="B3" s="115" t="s">
        <v>166</v>
      </c>
      <c r="C3" s="115">
        <v>12.982492280000001</v>
      </c>
      <c r="D3" s="115"/>
      <c r="E3" s="115">
        <v>1037.882022</v>
      </c>
      <c r="F3" s="115"/>
    </row>
    <row r="4" spans="1:7">
      <c r="A4" s="112" t="s">
        <v>106</v>
      </c>
      <c r="B4" s="113" t="s">
        <v>166</v>
      </c>
      <c r="C4" s="113">
        <v>9.5700424860000002</v>
      </c>
      <c r="D4" s="113"/>
      <c r="E4" s="113">
        <v>485.59438790000002</v>
      </c>
      <c r="F4" s="113"/>
    </row>
    <row r="5" spans="1:7">
      <c r="A5" s="114" t="s">
        <v>107</v>
      </c>
      <c r="B5" s="115" t="s">
        <v>166</v>
      </c>
      <c r="C5" s="115">
        <v>3.9562366230000001</v>
      </c>
      <c r="D5" s="115"/>
      <c r="E5" s="115">
        <v>390.58560260000002</v>
      </c>
      <c r="F5" s="115"/>
    </row>
    <row r="6" spans="1:7">
      <c r="A6" s="112" t="s">
        <v>108</v>
      </c>
      <c r="B6" s="113" t="s">
        <v>166</v>
      </c>
      <c r="C6" s="113">
        <v>14.363851260000001</v>
      </c>
      <c r="D6" s="113"/>
      <c r="E6" s="113">
        <v>1314.33871</v>
      </c>
      <c r="F6" s="113"/>
    </row>
    <row r="7" spans="1:7">
      <c r="A7" s="116" t="s">
        <v>109</v>
      </c>
      <c r="B7" s="117" t="s">
        <v>166</v>
      </c>
      <c r="C7" s="117">
        <v>6.1422266060000004</v>
      </c>
      <c r="D7" s="117"/>
      <c r="E7" s="117">
        <v>1063.953878</v>
      </c>
      <c r="F7" s="115"/>
    </row>
    <row r="8" spans="1:7">
      <c r="A8" s="115" t="s">
        <v>110</v>
      </c>
      <c r="B8" s="115" t="s">
        <v>166</v>
      </c>
      <c r="C8" s="115">
        <v>7.178310347</v>
      </c>
      <c r="D8" s="115" t="s">
        <v>167</v>
      </c>
      <c r="E8" s="115">
        <v>521.2840678</v>
      </c>
      <c r="F8" s="115" t="s">
        <v>167</v>
      </c>
    </row>
    <row r="9" spans="1:7">
      <c r="A9" s="113" t="s">
        <v>111</v>
      </c>
      <c r="B9" s="113" t="s">
        <v>166</v>
      </c>
      <c r="C9" s="113">
        <v>19.219436399999999</v>
      </c>
      <c r="D9" s="113" t="s">
        <v>167</v>
      </c>
      <c r="E9" s="113">
        <v>584.69624520000002</v>
      </c>
      <c r="F9" s="113" t="s">
        <v>167</v>
      </c>
    </row>
    <row r="10" spans="1:7">
      <c r="A10" s="113" t="s">
        <v>112</v>
      </c>
      <c r="B10" s="113" t="s">
        <v>166</v>
      </c>
      <c r="C10" s="113">
        <v>3.088107731</v>
      </c>
      <c r="D10" s="113" t="s">
        <v>167</v>
      </c>
      <c r="E10" s="113">
        <v>155.12492259999999</v>
      </c>
      <c r="F10" s="113" t="s">
        <v>167</v>
      </c>
    </row>
    <row r="11" spans="1:7">
      <c r="A11" s="110" t="s">
        <v>113</v>
      </c>
      <c r="B11" s="110" t="s">
        <v>166</v>
      </c>
      <c r="C11" s="110">
        <v>1.13546221</v>
      </c>
      <c r="D11" s="110" t="s">
        <v>168</v>
      </c>
      <c r="E11" s="110">
        <v>105.681923</v>
      </c>
      <c r="F11" s="110" t="s">
        <v>169</v>
      </c>
      <c r="G11" s="111" t="s">
        <v>170</v>
      </c>
    </row>
    <row r="12" spans="1:7">
      <c r="A12" s="113" t="s">
        <v>114</v>
      </c>
      <c r="B12" s="113" t="s">
        <v>166</v>
      </c>
      <c r="C12" s="113">
        <v>15.30814934</v>
      </c>
      <c r="D12" s="113" t="s">
        <v>168</v>
      </c>
      <c r="E12" s="113">
        <v>494.51592549999998</v>
      </c>
      <c r="F12" s="113" t="s">
        <v>169</v>
      </c>
    </row>
    <row r="13" spans="1:7">
      <c r="A13" s="115" t="s">
        <v>115</v>
      </c>
      <c r="B13" s="115" t="s">
        <v>166</v>
      </c>
      <c r="C13" s="115">
        <v>5.8138818409999997</v>
      </c>
      <c r="D13" s="115" t="s">
        <v>168</v>
      </c>
      <c r="E13" s="115">
        <v>422.47536229999997</v>
      </c>
      <c r="F13" s="115"/>
    </row>
    <row r="14" spans="1:7">
      <c r="A14" s="105" t="s">
        <v>118</v>
      </c>
      <c r="B14" s="106" t="s">
        <v>171</v>
      </c>
      <c r="C14" s="106">
        <v>4.4400000000000004</v>
      </c>
      <c r="D14" s="106" t="s">
        <v>167</v>
      </c>
      <c r="E14" s="106">
        <v>237</v>
      </c>
      <c r="F14" s="106" t="s">
        <v>167</v>
      </c>
    </row>
    <row r="15" spans="1:7">
      <c r="A15" s="107" t="s">
        <v>116</v>
      </c>
      <c r="B15" s="108" t="s">
        <v>171</v>
      </c>
      <c r="C15" s="108">
        <v>1.152596701</v>
      </c>
      <c r="D15" s="108" t="s">
        <v>167</v>
      </c>
      <c r="E15" s="108">
        <v>172.77021579999999</v>
      </c>
      <c r="F15" s="108" t="s">
        <v>167</v>
      </c>
    </row>
    <row r="16" spans="1:7">
      <c r="A16" s="105" t="s">
        <v>117</v>
      </c>
      <c r="B16" s="106" t="s">
        <v>171</v>
      </c>
      <c r="C16" s="106">
        <v>4.7911770909999998</v>
      </c>
      <c r="D16" s="106" t="s">
        <v>167</v>
      </c>
      <c r="E16" s="106">
        <v>418.2752734</v>
      </c>
      <c r="F16" s="106" t="s">
        <v>167</v>
      </c>
    </row>
    <row r="17" spans="1:7">
      <c r="A17" s="107" t="s">
        <v>119</v>
      </c>
      <c r="B17" s="108" t="s">
        <v>171</v>
      </c>
      <c r="C17" s="108">
        <v>3.603060755</v>
      </c>
      <c r="D17" s="108" t="s">
        <v>167</v>
      </c>
      <c r="E17" s="108">
        <v>490.07856959999998</v>
      </c>
      <c r="F17" s="108" t="s">
        <v>167</v>
      </c>
    </row>
    <row r="18" spans="1:7">
      <c r="A18" s="107" t="s">
        <v>120</v>
      </c>
      <c r="B18" s="108" t="s">
        <v>171</v>
      </c>
      <c r="C18" s="108">
        <v>4.9399559750000002</v>
      </c>
      <c r="D18" s="108" t="s">
        <v>167</v>
      </c>
      <c r="E18" s="108">
        <v>796.9373832</v>
      </c>
      <c r="F18" s="108" t="s">
        <v>167</v>
      </c>
    </row>
    <row r="19" spans="1:7">
      <c r="A19" s="105" t="s">
        <v>121</v>
      </c>
      <c r="B19" s="106" t="s">
        <v>171</v>
      </c>
      <c r="C19" s="106">
        <v>7.3517759900000001</v>
      </c>
      <c r="D19" s="106" t="s">
        <v>167</v>
      </c>
      <c r="E19" s="106">
        <v>1147.3269660000001</v>
      </c>
      <c r="F19" s="106" t="s">
        <v>167</v>
      </c>
    </row>
    <row r="20" spans="1:7">
      <c r="A20" s="107" t="s">
        <v>122</v>
      </c>
      <c r="B20" s="108" t="s">
        <v>171</v>
      </c>
      <c r="C20" s="108">
        <v>2.4769269450000002</v>
      </c>
      <c r="D20" s="108" t="s">
        <v>167</v>
      </c>
      <c r="E20" s="108">
        <v>299.81159280000003</v>
      </c>
      <c r="F20" s="108" t="s">
        <v>167</v>
      </c>
    </row>
    <row r="21" spans="1:7">
      <c r="A21" s="115" t="s">
        <v>125</v>
      </c>
      <c r="B21" s="115" t="s">
        <v>171</v>
      </c>
      <c r="C21" s="115">
        <v>11.109826930000001</v>
      </c>
      <c r="D21" s="115" t="s">
        <v>167</v>
      </c>
      <c r="E21" s="118" t="s">
        <v>172</v>
      </c>
      <c r="F21" s="119" t="s">
        <v>167</v>
      </c>
    </row>
    <row r="22" spans="1:7">
      <c r="A22" s="111" t="s">
        <v>126</v>
      </c>
      <c r="B22" s="111" t="s">
        <v>171</v>
      </c>
      <c r="C22" s="111">
        <v>11.303593149999999</v>
      </c>
      <c r="D22" s="111" t="s">
        <v>167</v>
      </c>
      <c r="E22" s="111">
        <v>275.11474800000002</v>
      </c>
      <c r="F22" s="111" t="s">
        <v>167</v>
      </c>
      <c r="G22" s="111" t="s">
        <v>170</v>
      </c>
    </row>
    <row r="23" spans="1:7">
      <c r="A23" s="105" t="s">
        <v>123</v>
      </c>
      <c r="B23" s="106" t="s">
        <v>171</v>
      </c>
      <c r="C23" s="106">
        <v>5.1875370629999997</v>
      </c>
      <c r="D23" s="106" t="s">
        <v>167</v>
      </c>
      <c r="E23" s="106">
        <v>165.38116890000001</v>
      </c>
      <c r="F23" s="106" t="s">
        <v>169</v>
      </c>
    </row>
    <row r="24" spans="1:7">
      <c r="A24" s="107" t="s">
        <v>124</v>
      </c>
      <c r="B24" s="108" t="s">
        <v>171</v>
      </c>
      <c r="C24" s="108">
        <v>2.7213214739999998</v>
      </c>
      <c r="D24" s="108" t="s">
        <v>168</v>
      </c>
      <c r="E24" s="108">
        <v>194.33716430000001</v>
      </c>
      <c r="F24" s="108" t="s">
        <v>169</v>
      </c>
    </row>
    <row r="25" spans="1:7">
      <c r="A25" s="115" t="s">
        <v>127</v>
      </c>
      <c r="B25" s="115" t="s">
        <v>171</v>
      </c>
      <c r="C25" s="115">
        <v>4.2398617080000003</v>
      </c>
      <c r="D25" s="115" t="s">
        <v>168</v>
      </c>
      <c r="E25" s="115">
        <v>455.80031769999999</v>
      </c>
      <c r="F25" s="115" t="s">
        <v>169</v>
      </c>
    </row>
    <row r="26" spans="1:7">
      <c r="A26" s="112" t="s">
        <v>128</v>
      </c>
      <c r="B26" s="113" t="s">
        <v>171</v>
      </c>
      <c r="C26" s="113">
        <v>6.9123987209999997</v>
      </c>
      <c r="D26" s="113" t="s">
        <v>168</v>
      </c>
      <c r="E26" s="113">
        <v>1444.7426190000001</v>
      </c>
      <c r="F26" s="113" t="s">
        <v>173</v>
      </c>
    </row>
    <row r="27" spans="1:7">
      <c r="A27" s="107" t="s">
        <v>129</v>
      </c>
      <c r="B27" s="108" t="s">
        <v>171</v>
      </c>
      <c r="C27" s="108">
        <v>7.3011079319999999</v>
      </c>
      <c r="D27" s="108" t="s">
        <v>168</v>
      </c>
      <c r="E27" s="108">
        <v>519.61841300000003</v>
      </c>
      <c r="F27" s="108" t="s">
        <v>173</v>
      </c>
    </row>
    <row r="28" spans="1:7">
      <c r="A28" s="107"/>
      <c r="B28" s="107"/>
      <c r="C28" s="107"/>
      <c r="D28" s="107"/>
      <c r="E28" s="107"/>
      <c r="F28" s="107"/>
    </row>
    <row r="29" spans="1:7">
      <c r="A29" s="107"/>
      <c r="B29" s="107"/>
      <c r="C29" s="107"/>
      <c r="D29" s="107"/>
      <c r="E29" s="107"/>
      <c r="F29" s="107"/>
    </row>
    <row r="30" spans="1:7">
      <c r="A30" s="109" t="s">
        <v>174</v>
      </c>
      <c r="B30" s="109"/>
      <c r="C30" s="107"/>
      <c r="D30" s="107"/>
      <c r="E30" s="107"/>
      <c r="F30" s="107"/>
    </row>
    <row r="31" spans="1:7">
      <c r="A31" s="107"/>
      <c r="B31" s="107"/>
      <c r="C31" s="107"/>
      <c r="D31" s="107"/>
      <c r="E31" s="107"/>
      <c r="F31" s="107"/>
    </row>
    <row r="32" spans="1:7">
      <c r="A32" s="107"/>
      <c r="B32" s="107"/>
      <c r="C32" s="107"/>
      <c r="D32" s="107"/>
      <c r="E32" s="107"/>
      <c r="F32" s="107"/>
    </row>
    <row r="33" spans="1:6">
      <c r="A33" s="107"/>
      <c r="B33" s="107"/>
      <c r="C33" s="107"/>
      <c r="D33" s="107"/>
      <c r="E33" s="107"/>
      <c r="F33" s="107"/>
    </row>
  </sheetData>
  <sortState xmlns:xlrd2="http://schemas.microsoft.com/office/spreadsheetml/2017/richdata2" ref="A2:G33">
    <sortCondition ref="B1:B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43b822-9630-4430-a8b7-3040f898a046">
      <Terms xmlns="http://schemas.microsoft.com/office/infopath/2007/PartnerControls"/>
    </lcf76f155ced4ddcb4097134ff3c332f>
    <TaxCatchAll xmlns="5bb4a110-d431-4a1f-acf1-3b2c2eae93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861BB33DF7047A913B0C8901C1A8B" ma:contentTypeVersion="18" ma:contentTypeDescription="Create a new document." ma:contentTypeScope="" ma:versionID="bb8fbe08c0258eb484f87dbff84e30df">
  <xsd:schema xmlns:xsd="http://www.w3.org/2001/XMLSchema" xmlns:xs="http://www.w3.org/2001/XMLSchema" xmlns:p="http://schemas.microsoft.com/office/2006/metadata/properties" xmlns:ns2="0e43b822-9630-4430-a8b7-3040f898a046" xmlns:ns3="5bb4a110-d431-4a1f-acf1-3b2c2eae93a8" targetNamespace="http://schemas.microsoft.com/office/2006/metadata/properties" ma:root="true" ma:fieldsID="d458f553005abf3f4b5683581a36fc8a" ns2:_="" ns3:_="">
    <xsd:import namespace="0e43b822-9630-4430-a8b7-3040f898a046"/>
    <xsd:import namespace="5bb4a110-d431-4a1f-acf1-3b2c2eae9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3b822-9630-4430-a8b7-3040f898a0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4a110-d431-4a1f-acf1-3b2c2eae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0bdbfa8-dc1d-434a-a21f-95b840fca537}" ma:internalName="TaxCatchAll" ma:showField="CatchAllData" ma:web="5bb4a110-d431-4a1f-acf1-3b2c2eae9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E6591-FDA6-40EC-8D13-1A5789318E4F}"/>
</file>

<file path=customXml/itemProps2.xml><?xml version="1.0" encoding="utf-8"?>
<ds:datastoreItem xmlns:ds="http://schemas.openxmlformats.org/officeDocument/2006/customXml" ds:itemID="{C73B6A43-CB76-42EF-B58A-5823E836CD70}"/>
</file>

<file path=customXml/itemProps3.xml><?xml version="1.0" encoding="utf-8"?>
<ds:datastoreItem xmlns:ds="http://schemas.openxmlformats.org/officeDocument/2006/customXml" ds:itemID="{7D53C151-1EF9-43D0-ACD5-9F280179E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Taylor, Jay</dc:creator>
  <cp:keywords/>
  <dc:description/>
  <cp:lastModifiedBy>Taylor, Jay</cp:lastModifiedBy>
  <cp:revision/>
  <dcterms:created xsi:type="dcterms:W3CDTF">2025-10-15T17:55:13Z</dcterms:created>
  <dcterms:modified xsi:type="dcterms:W3CDTF">2025-11-17T16:30:19Z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2025-10-15T17:59:22Z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7fe48072-d33d-4fa1-8fa2-db4bfd0710c0</vt:lpwstr>
  </property>
  <property fmtid="{D5CDD505-2E9C-101B-9397-08002B2CF9AE}" pid="8" name="MSIP_Label_792c8cef-6f2b-4af1-b4ac-d815ff795cd6_ContentBits">
    <vt:lpwstr>0</vt:lpwstr>
  </property>
  <property fmtid="{D5CDD505-2E9C-101B-9397-08002B2CF9AE}" pid="9" name="ContentTypeId">
    <vt:lpwstr>0x010100858861BB33DF7047A913B0C8901C1A8B</vt:lpwstr>
  </property>
  <property fmtid="{D5CDD505-2E9C-101B-9397-08002B2CF9AE}" pid="10" name="MediaServiceImageTags">
    <vt:lpwstr/>
  </property>
</Properties>
</file>